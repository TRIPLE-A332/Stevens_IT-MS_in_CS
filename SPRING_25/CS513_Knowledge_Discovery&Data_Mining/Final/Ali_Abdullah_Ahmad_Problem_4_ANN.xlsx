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evens GIT\Stevens_IT-MS_in_CS\SPRING_25\CS513_Knowledge_Discovery&amp;Data_Mining\Final\"/>
    </mc:Choice>
  </mc:AlternateContent>
  <xr:revisionPtr revIDLastSave="0" documentId="13_ncr:1_{EFEAA9F2-C340-4FD7-949C-DF9EC05EFBAE}" xr6:coauthVersionLast="47" xr6:coauthVersionMax="47" xr10:uidLastSave="{00000000-0000-0000-0000-000000000000}"/>
  <bookViews>
    <workbookView xWindow="-120" yWindow="-120" windowWidth="29040" windowHeight="16440" xr2:uid="{A07A5AE8-197D-4173-9D46-E6CB155D900B}"/>
  </bookViews>
  <sheets>
    <sheet name="CS-513 Final Question 4" sheetId="1" r:id="rId1"/>
  </sheets>
  <definedNames>
    <definedName name="_xlnm._FilterDatabase" localSheetId="0" hidden="1">'CS-513 Final Question 4'!$N$29:$R$29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R20" i="1"/>
  <c r="R21" i="1"/>
  <c r="R22" i="1"/>
  <c r="R23" i="1"/>
  <c r="V28" i="1"/>
  <c r="X28" i="1"/>
  <c r="X29" i="1"/>
  <c r="R30" i="1"/>
  <c r="X30" i="1"/>
  <c r="R31" i="1"/>
  <c r="R32" i="1"/>
  <c r="R33" i="1"/>
  <c r="R34" i="1"/>
  <c r="V40" i="1"/>
  <c r="V41" i="1"/>
  <c r="R42" i="1"/>
  <c r="V42" i="1"/>
  <c r="V43" i="1"/>
  <c r="V44" i="1"/>
  <c r="V51" i="1"/>
  <c r="V52" i="1"/>
  <c r="V53" i="1"/>
  <c r="V54" i="1"/>
  <c r="V55" i="1"/>
  <c r="R35" i="1" l="1"/>
  <c r="R37" i="1" s="1"/>
  <c r="N44" i="1" s="1"/>
  <c r="R24" i="1"/>
  <c r="R26" i="1" s="1"/>
  <c r="N43" i="1" s="1"/>
  <c r="V29" i="1" l="1"/>
  <c r="R43" i="1"/>
  <c r="R44" i="1"/>
  <c r="V30" i="1"/>
  <c r="R45" i="1" l="1"/>
  <c r="R47" i="1" s="1"/>
  <c r="U18" i="1"/>
  <c r="W23" i="1" s="1"/>
  <c r="W47" i="1" l="1"/>
  <c r="W36" i="1"/>
  <c r="W21" i="1"/>
  <c r="W29" i="1" l="1"/>
  <c r="Y29" i="1" s="1"/>
  <c r="W28" i="1"/>
  <c r="Y28" i="1" s="1"/>
  <c r="W30" i="1"/>
  <c r="Y30" i="1" s="1"/>
  <c r="W42" i="1" l="1"/>
  <c r="Y42" i="1" s="1"/>
  <c r="W40" i="1"/>
  <c r="Y40" i="1" s="1"/>
  <c r="W44" i="1"/>
  <c r="Y44" i="1" s="1"/>
  <c r="W43" i="1"/>
  <c r="Y43" i="1" s="1"/>
  <c r="W41" i="1"/>
  <c r="Y41" i="1" s="1"/>
  <c r="W54" i="1"/>
  <c r="Y54" i="1" s="1"/>
  <c r="W52" i="1"/>
  <c r="Y52" i="1" s="1"/>
  <c r="W55" i="1"/>
  <c r="Y55" i="1" s="1"/>
  <c r="W53" i="1"/>
  <c r="Y53" i="1" s="1"/>
  <c r="W51" i="1"/>
  <c r="Y51" i="1" s="1"/>
</calcChain>
</file>

<file path=xl/sharedStrings.xml><?xml version="1.0" encoding="utf-8"?>
<sst xmlns="http://schemas.openxmlformats.org/spreadsheetml/2006/main" count="106" uniqueCount="34">
  <si>
    <t>A</t>
  </si>
  <si>
    <t>Node 3</t>
  </si>
  <si>
    <t>B</t>
  </si>
  <si>
    <t>Node 2</t>
  </si>
  <si>
    <t>Node 1</t>
  </si>
  <si>
    <t>X</t>
  </si>
  <si>
    <t>New Weight</t>
  </si>
  <si>
    <t>Old Weight</t>
  </si>
  <si>
    <t>Adjustment</t>
  </si>
  <si>
    <t>Flow</t>
  </si>
  <si>
    <t>To</t>
  </si>
  <si>
    <t>From</t>
  </si>
  <si>
    <t>Hidden layer</t>
  </si>
  <si>
    <t>(1/(1+exp(-x))</t>
  </si>
  <si>
    <t>Signal</t>
  </si>
  <si>
    <t>z</t>
  </si>
  <si>
    <t>xx</t>
  </si>
  <si>
    <t>Output</t>
  </si>
  <si>
    <t>Weight</t>
  </si>
  <si>
    <t>input</t>
  </si>
  <si>
    <t>Node 4</t>
  </si>
  <si>
    <t>x</t>
  </si>
  <si>
    <t>Adjustments</t>
  </si>
  <si>
    <t xml:space="preserve"> </t>
  </si>
  <si>
    <t>Output layer</t>
  </si>
  <si>
    <t>Actual - Predicted</t>
  </si>
  <si>
    <t>Difference</t>
  </si>
  <si>
    <t>Learning factor</t>
  </si>
  <si>
    <t>Actual=</t>
  </si>
  <si>
    <t>Predicted=</t>
  </si>
  <si>
    <t>#Course: Knowledge Discovery and Data Mining</t>
  </si>
  <si>
    <t>#Name: Ali Abdullah Ahmad</t>
  </si>
  <si>
    <t>#CWID: 20031246</t>
  </si>
  <si>
    <t>Final Exam Problem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</si>
</sst>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"/>
    <numFmt numFmtId="166" formatCode="0.0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Aptos Display"/>
      <family val="2"/>
    </font>
    <font>
      <b/>
      <sz val="14"/>
      <name val="Aptos Display"/>
      <family val="2"/>
    </font>
    <font>
      <b/>
      <sz val="10"/>
      <name val="Aptos Display"/>
      <family val="2"/>
    </font>
    <font>
      <b/>
      <sz val="10"/>
      <name val="Arial"/>
      <family val="2"/>
    </font>
    <font>
      <sz val="10"/>
      <color theme="1"/>
      <name val="Aptos Display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2"/>
      <name val="Aptos Display"/>
      <family val="2"/>
    </font>
    <font>
      <sz val="16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0" borderId="0" xfId="0" applyFont="1"/>
    <xf numFmtId="0" fontId="3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quotePrefix="1" applyFont="1"/>
    <xf numFmtId="165" fontId="0" fillId="4" borderId="0" xfId="0" applyNumberFormat="1" applyFill="1"/>
    <xf numFmtId="0" fontId="7" fillId="0" borderId="0" xfId="0" applyFont="1" applyAlignment="1">
      <alignment horizontal="left"/>
    </xf>
    <xf numFmtId="0" fontId="8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5" fillId="3" borderId="2" xfId="0" applyFont="1" applyFill="1" applyBorder="1"/>
    <xf numFmtId="0" fontId="9" fillId="3" borderId="6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0" fillId="4" borderId="0" xfId="0" applyFill="1"/>
    <xf numFmtId="166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10" fillId="0" borderId="0" xfId="0" applyFont="1"/>
    <xf numFmtId="0" fontId="11" fillId="0" borderId="0" xfId="0" quotePrefix="1" applyFont="1"/>
    <xf numFmtId="0" fontId="0" fillId="0" borderId="0" xfId="0" quotePrefix="1"/>
    <xf numFmtId="0" fontId="5" fillId="5" borderId="0" xfId="0" applyFont="1" applyFill="1"/>
    <xf numFmtId="0" fontId="4" fillId="5" borderId="0" xfId="0" applyFont="1" applyFill="1" applyAlignment="1">
      <alignment vertical="center"/>
    </xf>
    <xf numFmtId="0" fontId="4" fillId="5" borderId="0" xfId="0" applyFont="1" applyFill="1"/>
    <xf numFmtId="0" fontId="2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276225</xdr:colOff>
          <xdr:row>2</xdr:row>
          <xdr:rowOff>190500</xdr:rowOff>
        </xdr:from>
        <xdr:to>
          <xdr:col>18</xdr:col>
          <xdr:colOff>561975</xdr:colOff>
          <xdr:row>13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</xdr:colOff>
          <xdr:row>3</xdr:row>
          <xdr:rowOff>76200</xdr:rowOff>
        </xdr:from>
        <xdr:to>
          <xdr:col>11</xdr:col>
          <xdr:colOff>371475</xdr:colOff>
          <xdr:row>7</xdr:row>
          <xdr:rowOff>38100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</xdr:spPr>
        </xdr:sp>
        <xdr:clientData/>
      </xdr:twoCellAnchor>
    </mc:Choice>
    <mc:Fallback/>
  </mc:AlternateContent>
  <xdr:oneCellAnchor>
    <xdr:from>
      <xdr:col>1</xdr:col>
      <xdr:colOff>323850</xdr:colOff>
      <xdr:row>17</xdr:row>
      <xdr:rowOff>57150</xdr:rowOff>
    </xdr:from>
    <xdr:ext cx="18531" cy="179601"/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936763" y="3254237"/>
          <a:ext cx="18531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678C-7766-4371-88A3-792866ADFE9C}">
  <dimension ref="A10:Y55"/>
  <sheetViews>
    <sheetView tabSelected="1" topLeftCell="M2" zoomScaleNormal="100" workbookViewId="0">
      <selection activeCell="X15" sqref="X15"/>
    </sheetView>
  </sheetViews>
  <sheetFormatPr defaultRowHeight="12.75" x14ac:dyDescent="0.2"/>
  <cols>
    <col min="6" max="6" width="13.42578125" customWidth="1"/>
    <col min="7" max="7" width="12.140625" customWidth="1"/>
    <col min="8" max="8" width="10.5703125" customWidth="1"/>
    <col min="11" max="11" width="10.85546875" customWidth="1"/>
    <col min="13" max="13" width="14.7109375" bestFit="1" customWidth="1"/>
    <col min="14" max="14" width="13.42578125" customWidth="1"/>
    <col min="16" max="16" width="18.85546875" customWidth="1"/>
    <col min="17" max="17" width="15.7109375" bestFit="1" customWidth="1"/>
    <col min="18" max="18" width="16.7109375" bestFit="1" customWidth="1"/>
    <col min="20" max="20" width="21.7109375" bestFit="1" customWidth="1"/>
    <col min="23" max="23" width="15.7109375" bestFit="1" customWidth="1"/>
    <col min="24" max="24" width="15.28515625" bestFit="1" customWidth="1"/>
    <col min="25" max="25" width="16.28515625" bestFit="1" customWidth="1"/>
  </cols>
  <sheetData>
    <row r="10" spans="1:19" ht="20.25" customHeight="1" x14ac:dyDescent="0.25">
      <c r="H10" s="37" t="s">
        <v>30</v>
      </c>
      <c r="I10" s="38"/>
      <c r="J10" s="36"/>
      <c r="K10" s="36"/>
    </row>
    <row r="11" spans="1:19" ht="20.25" x14ac:dyDescent="0.3">
      <c r="H11" s="37" t="s">
        <v>31</v>
      </c>
      <c r="I11" s="38"/>
      <c r="J11" s="36"/>
      <c r="K11" s="36"/>
      <c r="S11" s="33"/>
    </row>
    <row r="12" spans="1:19" ht="20.25" x14ac:dyDescent="0.3">
      <c r="D12" s="35"/>
      <c r="E12" s="13"/>
      <c r="H12" s="37" t="s">
        <v>32</v>
      </c>
      <c r="I12" s="38"/>
      <c r="J12" s="36"/>
      <c r="K12" s="36"/>
      <c r="S12" s="33"/>
    </row>
    <row r="13" spans="1:19" ht="20.25" x14ac:dyDescent="0.3">
      <c r="A13" s="11"/>
      <c r="D13" s="34"/>
      <c r="H13" s="37" t="s">
        <v>33</v>
      </c>
      <c r="I13" s="38"/>
      <c r="J13" s="36"/>
      <c r="K13" s="36"/>
      <c r="S13" s="33"/>
    </row>
    <row r="14" spans="1:19" x14ac:dyDescent="0.2">
      <c r="A14" s="11"/>
    </row>
    <row r="15" spans="1:19" x14ac:dyDescent="0.2">
      <c r="A15" s="11"/>
    </row>
    <row r="16" spans="1:19" x14ac:dyDescent="0.2">
      <c r="A16" s="11"/>
      <c r="E16" s="15"/>
    </row>
    <row r="17" spans="1:25" ht="13.5" thickBot="1" x14ac:dyDescent="0.25">
      <c r="A17" s="11"/>
      <c r="D17" s="16"/>
    </row>
    <row r="18" spans="1:25" ht="19.5" thickBot="1" x14ac:dyDescent="0.35">
      <c r="A18" s="11"/>
      <c r="I18" s="21"/>
      <c r="N18" s="4" t="s">
        <v>19</v>
      </c>
      <c r="O18" s="4" t="s">
        <v>11</v>
      </c>
      <c r="P18" s="4" t="s">
        <v>10</v>
      </c>
      <c r="Q18" s="4" t="s">
        <v>18</v>
      </c>
      <c r="R18" s="4" t="s">
        <v>17</v>
      </c>
      <c r="S18" s="3"/>
      <c r="T18" s="32" t="s">
        <v>29</v>
      </c>
      <c r="U18" s="31">
        <f>R47</f>
        <v>0.87313689059838373</v>
      </c>
      <c r="V18" s="31"/>
      <c r="W18" s="31" t="s">
        <v>28</v>
      </c>
      <c r="X18" s="30">
        <v>0.8</v>
      </c>
      <c r="Y18" s="3"/>
    </row>
    <row r="19" spans="1:25" ht="14.25" thickBot="1" x14ac:dyDescent="0.3">
      <c r="A19" s="11"/>
      <c r="G19" s="29"/>
      <c r="N19" s="2">
        <v>1</v>
      </c>
      <c r="O19" s="2" t="s">
        <v>21</v>
      </c>
      <c r="P19" s="2" t="s">
        <v>0</v>
      </c>
      <c r="Q19" s="2">
        <v>0.5</v>
      </c>
      <c r="R19" s="2">
        <f>N19*Q19</f>
        <v>0.5</v>
      </c>
      <c r="S19" s="3"/>
      <c r="T19" s="3"/>
      <c r="U19" s="3"/>
      <c r="V19" s="3"/>
      <c r="W19" s="3"/>
      <c r="X19" s="3"/>
      <c r="Y19" s="3"/>
    </row>
    <row r="20" spans="1:25" ht="16.5" thickBot="1" x14ac:dyDescent="0.3">
      <c r="A20" s="11"/>
      <c r="E20" s="20"/>
      <c r="N20" s="2">
        <v>0.3</v>
      </c>
      <c r="O20" s="2" t="s">
        <v>4</v>
      </c>
      <c r="P20" s="2" t="s">
        <v>0</v>
      </c>
      <c r="Q20" s="2">
        <v>0.6</v>
      </c>
      <c r="R20" s="2">
        <f>N20*Q20</f>
        <v>0.18</v>
      </c>
      <c r="S20" s="3"/>
      <c r="T20" s="28" t="s">
        <v>27</v>
      </c>
      <c r="U20" s="27">
        <v>0.1</v>
      </c>
      <c r="V20" s="26"/>
      <c r="W20" s="25"/>
      <c r="X20" s="3"/>
      <c r="Y20" s="3"/>
    </row>
    <row r="21" spans="1:25" ht="17.45" customHeight="1" thickBot="1" x14ac:dyDescent="0.3">
      <c r="A21" s="11"/>
      <c r="D21" s="16"/>
      <c r="I21" s="18"/>
      <c r="N21" s="2">
        <v>0.6</v>
      </c>
      <c r="O21" s="2" t="s">
        <v>3</v>
      </c>
      <c r="P21" s="2" t="s">
        <v>0</v>
      </c>
      <c r="Q21" s="2">
        <v>0.8</v>
      </c>
      <c r="R21" s="2">
        <f>N21*Q21</f>
        <v>0.48</v>
      </c>
      <c r="S21" s="3"/>
      <c r="T21" s="23" t="s">
        <v>26</v>
      </c>
      <c r="U21" s="24" t="s">
        <v>25</v>
      </c>
      <c r="V21" s="23"/>
      <c r="W21" s="22">
        <f>X18-U18</f>
        <v>-7.3136890598383686E-2</v>
      </c>
      <c r="X21" s="3"/>
      <c r="Y21" s="3"/>
    </row>
    <row r="22" spans="1:25" ht="14.25" thickBot="1" x14ac:dyDescent="0.3">
      <c r="A22" s="11"/>
      <c r="D22" s="21"/>
      <c r="E22" s="20"/>
      <c r="N22" s="2">
        <v>0.6</v>
      </c>
      <c r="O22" s="2" t="s">
        <v>1</v>
      </c>
      <c r="P22" s="2" t="s">
        <v>0</v>
      </c>
      <c r="Q22" s="2">
        <v>0.6</v>
      </c>
      <c r="R22" s="2">
        <f>N22*Q22</f>
        <v>0.36</v>
      </c>
      <c r="S22" s="3"/>
      <c r="T22" s="3"/>
      <c r="U22" s="3"/>
      <c r="V22" s="3"/>
      <c r="W22" s="3"/>
      <c r="X22" s="3"/>
      <c r="Y22" s="3"/>
    </row>
    <row r="23" spans="1:25" ht="19.5" thickBot="1" x14ac:dyDescent="0.35">
      <c r="A23" s="11"/>
      <c r="N23" s="2">
        <v>0.3</v>
      </c>
      <c r="O23" s="2" t="s">
        <v>20</v>
      </c>
      <c r="P23" s="2" t="s">
        <v>0</v>
      </c>
      <c r="Q23" s="2">
        <v>0.2</v>
      </c>
      <c r="R23" s="2">
        <f>N23*Q23</f>
        <v>0.06</v>
      </c>
      <c r="S23" s="3"/>
      <c r="T23" s="7" t="s">
        <v>24</v>
      </c>
      <c r="U23" s="3"/>
      <c r="V23" s="3"/>
      <c r="W23" s="5">
        <f>U18*(1-U18)*(X18-U18)</f>
        <v>-8.101290059490996E-3</v>
      </c>
      <c r="X23" s="3"/>
      <c r="Y23" s="3"/>
    </row>
    <row r="24" spans="1:25" ht="14.25" thickBot="1" x14ac:dyDescent="0.3">
      <c r="A24" s="11"/>
      <c r="D24" s="16"/>
      <c r="E24" s="19"/>
      <c r="N24" s="3"/>
      <c r="O24" s="3"/>
      <c r="P24" s="3"/>
      <c r="Q24" s="3"/>
      <c r="R24" s="39">
        <f>SUM(R19:R23)</f>
        <v>1.58</v>
      </c>
      <c r="S24" s="3"/>
      <c r="T24" s="3"/>
      <c r="U24" s="3"/>
      <c r="V24" s="3"/>
      <c r="X24" s="3"/>
      <c r="Y24" s="3" t="s">
        <v>23</v>
      </c>
    </row>
    <row r="25" spans="1:25" ht="14.25" thickBot="1" x14ac:dyDescent="0.3">
      <c r="A25" s="11"/>
      <c r="I25" s="18"/>
      <c r="K25" s="17"/>
      <c r="N25" s="3"/>
      <c r="O25" s="3"/>
      <c r="P25" s="3"/>
      <c r="Q25" s="3"/>
      <c r="R25" s="3"/>
      <c r="S25" s="3"/>
      <c r="T25" s="3" t="s">
        <v>23</v>
      </c>
      <c r="U25" s="3"/>
      <c r="V25" s="3"/>
      <c r="W25" s="3"/>
      <c r="X25" s="3"/>
      <c r="Y25" s="3"/>
    </row>
    <row r="26" spans="1:25" ht="14.25" thickBot="1" x14ac:dyDescent="0.3">
      <c r="A26" s="11"/>
      <c r="K26" s="17"/>
      <c r="N26" s="3"/>
      <c r="O26" s="10" t="s">
        <v>14</v>
      </c>
      <c r="P26" s="9" t="s">
        <v>13</v>
      </c>
      <c r="Q26" s="9"/>
      <c r="R26" s="8">
        <f>(1/(1+EXP(-R24)))</f>
        <v>0.82920451797762562</v>
      </c>
      <c r="S26" s="3"/>
      <c r="T26" s="3" t="s">
        <v>22</v>
      </c>
      <c r="U26" s="3"/>
      <c r="V26" s="3"/>
      <c r="W26" s="3"/>
      <c r="X26" s="3"/>
      <c r="Y26" s="3"/>
    </row>
    <row r="27" spans="1:25" ht="19.5" thickBot="1" x14ac:dyDescent="0.35">
      <c r="A27" s="11"/>
      <c r="D27" s="16"/>
      <c r="N27" s="3"/>
      <c r="O27" s="3"/>
      <c r="P27" s="3"/>
      <c r="Q27" s="3"/>
      <c r="R27" s="3"/>
      <c r="S27" s="3"/>
      <c r="T27" s="4" t="s">
        <v>11</v>
      </c>
      <c r="U27" s="4" t="s">
        <v>10</v>
      </c>
      <c r="V27" s="4" t="s">
        <v>9</v>
      </c>
      <c r="W27" s="4" t="s">
        <v>8</v>
      </c>
      <c r="X27" s="4" t="s">
        <v>7</v>
      </c>
      <c r="Y27" s="4" t="s">
        <v>6</v>
      </c>
    </row>
    <row r="28" spans="1:25" ht="14.25" thickBot="1" x14ac:dyDescent="0.3">
      <c r="E28" s="16"/>
      <c r="G28" s="14"/>
      <c r="J28" s="13"/>
      <c r="N28" s="3"/>
      <c r="O28" s="3"/>
      <c r="P28" s="3"/>
      <c r="Q28" s="3"/>
      <c r="R28" s="3"/>
      <c r="S28" s="3"/>
      <c r="T28" s="2" t="s">
        <v>16</v>
      </c>
      <c r="U28" s="2" t="s">
        <v>15</v>
      </c>
      <c r="V28" s="2">
        <f>N42</f>
        <v>1</v>
      </c>
      <c r="W28" s="2">
        <f>$U$20*$W$23*V28</f>
        <v>-8.1012900594909965E-4</v>
      </c>
      <c r="X28" s="2">
        <f>Q42</f>
        <v>0.5</v>
      </c>
      <c r="Y28" s="2">
        <f>X28+W28</f>
        <v>0.49918987099405088</v>
      </c>
    </row>
    <row r="29" spans="1:25" ht="19.5" thickBot="1" x14ac:dyDescent="0.35">
      <c r="D29" s="15"/>
      <c r="G29" s="14"/>
      <c r="J29" s="13"/>
      <c r="N29" s="4" t="s">
        <v>19</v>
      </c>
      <c r="O29" s="4" t="s">
        <v>11</v>
      </c>
      <c r="P29" s="4" t="s">
        <v>10</v>
      </c>
      <c r="Q29" s="4" t="s">
        <v>18</v>
      </c>
      <c r="R29" s="4" t="s">
        <v>17</v>
      </c>
      <c r="S29" s="3"/>
      <c r="T29" s="2" t="s">
        <v>0</v>
      </c>
      <c r="U29" s="2" t="s">
        <v>15</v>
      </c>
      <c r="V29" s="2">
        <f>N43</f>
        <v>0.82920451797762562</v>
      </c>
      <c r="W29" s="2">
        <f>$U$20*$W$23*V29</f>
        <v>-6.7176263187771618E-4</v>
      </c>
      <c r="X29" s="2">
        <f>Q43</f>
        <v>0.85</v>
      </c>
      <c r="Y29" s="2">
        <f>X29+W29</f>
        <v>0.84932823736812224</v>
      </c>
    </row>
    <row r="30" spans="1:25" ht="14.25" thickBot="1" x14ac:dyDescent="0.3">
      <c r="N30" s="2">
        <v>1</v>
      </c>
      <c r="O30" s="2" t="s">
        <v>21</v>
      </c>
      <c r="P30" s="2" t="s">
        <v>2</v>
      </c>
      <c r="Q30" s="2">
        <v>0.7</v>
      </c>
      <c r="R30" s="2">
        <f>N30*Q30</f>
        <v>0.7</v>
      </c>
      <c r="S30" s="12"/>
      <c r="T30" s="2" t="s">
        <v>2</v>
      </c>
      <c r="U30" s="2" t="s">
        <v>15</v>
      </c>
      <c r="V30" s="2">
        <f>N44</f>
        <v>0.85195280196831058</v>
      </c>
      <c r="W30" s="2">
        <f>$U$20*$W$23*V30</f>
        <v>-6.9019167657413758E-4</v>
      </c>
      <c r="X30" s="2">
        <f>Q44</f>
        <v>0.85</v>
      </c>
      <c r="Y30" s="2">
        <f>X30+W30</f>
        <v>0.84930980832342584</v>
      </c>
    </row>
    <row r="31" spans="1:25" ht="14.25" thickBot="1" x14ac:dyDescent="0.3">
      <c r="A31" s="11"/>
      <c r="N31" s="2">
        <v>0.3</v>
      </c>
      <c r="O31" s="2" t="s">
        <v>4</v>
      </c>
      <c r="P31" s="2" t="s">
        <v>2</v>
      </c>
      <c r="Q31" s="2">
        <v>0.9</v>
      </c>
      <c r="R31" s="2">
        <f>N31*Q31</f>
        <v>0.27</v>
      </c>
      <c r="S31" s="3"/>
      <c r="T31" s="3"/>
      <c r="U31" s="3"/>
      <c r="V31" s="3"/>
      <c r="W31" s="3"/>
      <c r="X31" s="3"/>
      <c r="Y31" s="3"/>
    </row>
    <row r="32" spans="1:25" ht="14.25" thickBot="1" x14ac:dyDescent="0.3">
      <c r="N32" s="2">
        <v>0.6</v>
      </c>
      <c r="O32" s="2" t="s">
        <v>3</v>
      </c>
      <c r="P32" s="2" t="s">
        <v>2</v>
      </c>
      <c r="Q32" s="2">
        <v>0.8</v>
      </c>
      <c r="R32" s="2">
        <f>N32*Q32</f>
        <v>0.48</v>
      </c>
      <c r="S32" s="3"/>
      <c r="T32" s="3"/>
      <c r="U32" s="3"/>
      <c r="V32" s="3"/>
      <c r="W32" s="3"/>
      <c r="X32" s="3"/>
      <c r="Y32" s="3"/>
    </row>
    <row r="33" spans="14:25" ht="14.25" thickBot="1" x14ac:dyDescent="0.3">
      <c r="N33" s="2">
        <v>0.6</v>
      </c>
      <c r="O33" s="2" t="s">
        <v>1</v>
      </c>
      <c r="P33" s="2" t="s">
        <v>2</v>
      </c>
      <c r="Q33" s="2">
        <v>0.4</v>
      </c>
      <c r="R33" s="2">
        <f>N33*Q33</f>
        <v>0.24</v>
      </c>
      <c r="S33" s="3"/>
      <c r="T33" s="3"/>
      <c r="U33" s="3"/>
      <c r="V33" s="3"/>
      <c r="W33" s="3"/>
      <c r="X33" s="3"/>
      <c r="Y33" s="3"/>
    </row>
    <row r="34" spans="14:25" ht="14.25" thickBot="1" x14ac:dyDescent="0.3">
      <c r="N34" s="2">
        <v>0.3</v>
      </c>
      <c r="O34" s="2" t="s">
        <v>20</v>
      </c>
      <c r="P34" s="2" t="s">
        <v>2</v>
      </c>
      <c r="Q34" s="2">
        <v>0.2</v>
      </c>
      <c r="R34" s="2">
        <f>N34*Q34</f>
        <v>0.06</v>
      </c>
      <c r="S34" s="3"/>
      <c r="T34" s="3"/>
      <c r="U34" s="3"/>
      <c r="V34" s="3"/>
      <c r="W34" s="3"/>
      <c r="X34" s="3"/>
      <c r="Y34" s="3"/>
    </row>
    <row r="35" spans="14:25" ht="14.25" thickBot="1" x14ac:dyDescent="0.3">
      <c r="N35" s="3"/>
      <c r="O35" s="3"/>
      <c r="P35" s="3"/>
      <c r="Q35" s="3"/>
      <c r="R35" s="39">
        <f>SUM(R30:R34)</f>
        <v>1.75</v>
      </c>
      <c r="S35" s="3"/>
      <c r="T35" s="3"/>
      <c r="U35" s="3"/>
      <c r="V35" s="3"/>
      <c r="W35" s="3"/>
      <c r="X35" s="3"/>
      <c r="Y35" s="3"/>
    </row>
    <row r="36" spans="14:25" ht="19.5" thickBot="1" x14ac:dyDescent="0.35">
      <c r="N36" s="3"/>
      <c r="O36" s="3"/>
      <c r="P36" s="3"/>
      <c r="Q36" s="3"/>
      <c r="R36" s="3"/>
      <c r="S36" s="3"/>
      <c r="T36" s="7" t="s">
        <v>12</v>
      </c>
      <c r="U36" s="3"/>
      <c r="V36" s="3"/>
      <c r="W36" s="5">
        <f>R26*(1-R26)*Q43*W23</f>
        <v>-9.752391913874735E-4</v>
      </c>
      <c r="Y36" s="3"/>
    </row>
    <row r="37" spans="14:25" ht="14.25" thickBot="1" x14ac:dyDescent="0.3">
      <c r="N37" s="3"/>
      <c r="O37" s="10" t="s">
        <v>14</v>
      </c>
      <c r="P37" s="9" t="s">
        <v>13</v>
      </c>
      <c r="Q37" s="9"/>
      <c r="R37" s="8">
        <f>(1/(1+EXP(-R35)))</f>
        <v>0.85195280196831058</v>
      </c>
      <c r="S37" s="3"/>
      <c r="T37" s="3"/>
      <c r="U37" s="3"/>
      <c r="V37" s="3"/>
      <c r="W37" s="3"/>
      <c r="Y37" s="3"/>
    </row>
    <row r="38" spans="14:25" ht="14.25" thickBot="1" x14ac:dyDescent="0.3"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4:25" ht="19.5" thickBot="1" x14ac:dyDescent="0.35">
      <c r="N39" s="3"/>
      <c r="O39" s="3"/>
      <c r="P39" s="3"/>
      <c r="Q39" s="3"/>
      <c r="R39" s="3"/>
      <c r="S39" s="3"/>
      <c r="T39" s="4" t="s">
        <v>11</v>
      </c>
      <c r="U39" s="4" t="s">
        <v>10</v>
      </c>
      <c r="V39" s="4" t="s">
        <v>9</v>
      </c>
      <c r="W39" s="4" t="s">
        <v>8</v>
      </c>
      <c r="X39" s="4" t="s">
        <v>7</v>
      </c>
      <c r="Y39" s="4" t="s">
        <v>6</v>
      </c>
    </row>
    <row r="40" spans="14:25" ht="14.25" thickBot="1" x14ac:dyDescent="0.3">
      <c r="N40" s="3"/>
      <c r="O40" s="3"/>
      <c r="P40" s="3"/>
      <c r="Q40" s="3"/>
      <c r="R40" s="3"/>
      <c r="S40" s="3"/>
      <c r="T40" s="2" t="s">
        <v>5</v>
      </c>
      <c r="U40" s="2" t="s">
        <v>0</v>
      </c>
      <c r="V40" s="2">
        <f>N19</f>
        <v>1</v>
      </c>
      <c r="W40" s="1">
        <f>$U$20*$W$36*V40</f>
        <v>-9.7523919138747353E-5</v>
      </c>
      <c r="X40" s="2">
        <v>0.5</v>
      </c>
      <c r="Y40" s="1">
        <f>X40+W40</f>
        <v>0.49990247608086125</v>
      </c>
    </row>
    <row r="41" spans="14:25" ht="19.5" thickBot="1" x14ac:dyDescent="0.35">
      <c r="N41" s="4" t="s">
        <v>19</v>
      </c>
      <c r="O41" s="4" t="s">
        <v>11</v>
      </c>
      <c r="P41" s="4" t="s">
        <v>10</v>
      </c>
      <c r="Q41" s="4" t="s">
        <v>18</v>
      </c>
      <c r="R41" s="4" t="s">
        <v>17</v>
      </c>
      <c r="S41" s="3"/>
      <c r="T41" s="2" t="s">
        <v>4</v>
      </c>
      <c r="U41" s="2" t="s">
        <v>0</v>
      </c>
      <c r="V41" s="2">
        <f>N20</f>
        <v>0.3</v>
      </c>
      <c r="W41" s="1">
        <f>$U$20*$W$36*V41</f>
        <v>-2.9257175741624203E-5</v>
      </c>
      <c r="X41" s="2">
        <v>0.6</v>
      </c>
      <c r="Y41" s="2">
        <f>X41+W41</f>
        <v>0.59997074282425833</v>
      </c>
    </row>
    <row r="42" spans="14:25" ht="14.25" thickBot="1" x14ac:dyDescent="0.3">
      <c r="N42" s="2">
        <v>1</v>
      </c>
      <c r="O42" s="2" t="s">
        <v>16</v>
      </c>
      <c r="P42" s="2" t="s">
        <v>15</v>
      </c>
      <c r="Q42" s="2">
        <v>0.5</v>
      </c>
      <c r="R42" s="2">
        <f>N42*Q42</f>
        <v>0.5</v>
      </c>
      <c r="S42" s="3"/>
      <c r="T42" s="2" t="s">
        <v>3</v>
      </c>
      <c r="U42" s="2" t="s">
        <v>0</v>
      </c>
      <c r="V42" s="2">
        <f>N21</f>
        <v>0.6</v>
      </c>
      <c r="W42" s="1">
        <f>$U$20*$W$36*V42</f>
        <v>-5.8514351483248406E-5</v>
      </c>
      <c r="X42" s="2">
        <v>0.8</v>
      </c>
      <c r="Y42" s="2">
        <f>X42+W42</f>
        <v>0.79994148564851675</v>
      </c>
    </row>
    <row r="43" spans="14:25" ht="14.25" thickBot="1" x14ac:dyDescent="0.3">
      <c r="N43" s="2">
        <f>R26</f>
        <v>0.82920451797762562</v>
      </c>
      <c r="O43" s="2" t="s">
        <v>0</v>
      </c>
      <c r="P43" s="2" t="s">
        <v>15</v>
      </c>
      <c r="Q43" s="2">
        <v>0.85</v>
      </c>
      <c r="R43" s="2">
        <f>N43*Q43</f>
        <v>0.70482384028098177</v>
      </c>
      <c r="S43" s="3"/>
      <c r="T43" s="2" t="s">
        <v>1</v>
      </c>
      <c r="U43" s="2" t="s">
        <v>0</v>
      </c>
      <c r="V43" s="2">
        <f>N22</f>
        <v>0.6</v>
      </c>
      <c r="W43" s="1">
        <f>$U$20*$W$36*V43</f>
        <v>-5.8514351483248406E-5</v>
      </c>
      <c r="X43" s="2">
        <v>0.6</v>
      </c>
      <c r="Y43" s="2">
        <f>X43+W43</f>
        <v>0.59994148564851668</v>
      </c>
    </row>
    <row r="44" spans="14:25" ht="14.25" thickBot="1" x14ac:dyDescent="0.3">
      <c r="N44" s="2">
        <f>R37</f>
        <v>0.85195280196831058</v>
      </c>
      <c r="O44" s="2" t="s">
        <v>2</v>
      </c>
      <c r="P44" s="2" t="s">
        <v>15</v>
      </c>
      <c r="Q44" s="2">
        <v>0.85</v>
      </c>
      <c r="R44" s="2">
        <f>N44*Q44</f>
        <v>0.724159881673064</v>
      </c>
      <c r="S44" s="3"/>
      <c r="T44" s="2" t="s">
        <v>1</v>
      </c>
      <c r="U44" s="2" t="s">
        <v>0</v>
      </c>
      <c r="V44" s="2">
        <f>N23</f>
        <v>0.3</v>
      </c>
      <c r="W44" s="1">
        <f>$U$20*$W$36*V44</f>
        <v>-2.9257175741624203E-5</v>
      </c>
      <c r="X44" s="2">
        <v>0.2</v>
      </c>
      <c r="Y44" s="2">
        <f>X44+W44</f>
        <v>0.19997074282425839</v>
      </c>
    </row>
    <row r="45" spans="14:25" ht="14.25" thickBot="1" x14ac:dyDescent="0.3">
      <c r="N45" s="3"/>
      <c r="O45" s="3"/>
      <c r="P45" s="3"/>
      <c r="Q45" s="3"/>
      <c r="R45" s="39">
        <f>SUM(R41:R44)</f>
        <v>1.928983721954046</v>
      </c>
      <c r="S45" s="3"/>
      <c r="T45" s="3"/>
      <c r="U45" s="3"/>
      <c r="V45" s="3"/>
      <c r="W45" s="3"/>
      <c r="X45" s="3"/>
      <c r="Y45" s="3"/>
    </row>
    <row r="46" spans="14:25" ht="14.25" thickBot="1" x14ac:dyDescent="0.3"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4:25" ht="19.5" thickBot="1" x14ac:dyDescent="0.35">
      <c r="N47" s="3"/>
      <c r="O47" s="10" t="s">
        <v>14</v>
      </c>
      <c r="P47" s="9" t="s">
        <v>13</v>
      </c>
      <c r="Q47" s="9"/>
      <c r="R47" s="8">
        <f>(1/(1+EXP(-R45)))</f>
        <v>0.87313689059838373</v>
      </c>
      <c r="S47" s="3"/>
      <c r="T47" s="7" t="s">
        <v>12</v>
      </c>
      <c r="U47" s="6"/>
      <c r="V47" s="6"/>
      <c r="W47" s="5">
        <f>R37*(1-R37)*Q44*W23</f>
        <v>-8.6853802248355806E-4</v>
      </c>
      <c r="X47" s="3"/>
      <c r="Y47" s="3"/>
    </row>
    <row r="48" spans="14:25" ht="13.5" x14ac:dyDescent="0.25"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</row>
    <row r="49" spans="14:25" ht="14.25" thickBot="1" x14ac:dyDescent="0.3"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4:25" ht="19.5" thickBot="1" x14ac:dyDescent="0.35">
      <c r="N50" s="3"/>
      <c r="O50" s="3"/>
      <c r="P50" s="3"/>
      <c r="Q50" s="3"/>
      <c r="R50" s="3"/>
      <c r="S50" s="3"/>
      <c r="T50" s="4" t="s">
        <v>11</v>
      </c>
      <c r="U50" s="4" t="s">
        <v>10</v>
      </c>
      <c r="V50" s="4" t="s">
        <v>9</v>
      </c>
      <c r="W50" s="4" t="s">
        <v>8</v>
      </c>
      <c r="X50" s="4" t="s">
        <v>7</v>
      </c>
      <c r="Y50" s="4" t="s">
        <v>6</v>
      </c>
    </row>
    <row r="51" spans="14:25" ht="14.25" thickBot="1" x14ac:dyDescent="0.3">
      <c r="N51" s="3"/>
      <c r="O51" s="3"/>
      <c r="P51" s="3"/>
      <c r="Q51" s="3"/>
      <c r="R51" s="3"/>
      <c r="S51" s="3"/>
      <c r="T51" s="2" t="s">
        <v>5</v>
      </c>
      <c r="U51" s="2" t="s">
        <v>2</v>
      </c>
      <c r="V51" s="2">
        <f>N30</f>
        <v>1</v>
      </c>
      <c r="W51" s="1">
        <f>$U$20*$W$47*V51</f>
        <v>-8.6853802248355817E-5</v>
      </c>
      <c r="X51" s="2">
        <v>0.7</v>
      </c>
      <c r="Y51" s="1">
        <f>X51+W51</f>
        <v>0.69991314619775158</v>
      </c>
    </row>
    <row r="52" spans="14:25" ht="14.25" thickBot="1" x14ac:dyDescent="0.3">
      <c r="N52" s="3"/>
      <c r="O52" s="3"/>
      <c r="P52" s="3"/>
      <c r="Q52" s="3"/>
      <c r="R52" s="3"/>
      <c r="S52" s="3"/>
      <c r="T52" s="2" t="s">
        <v>4</v>
      </c>
      <c r="U52" s="2" t="s">
        <v>2</v>
      </c>
      <c r="V52" s="2">
        <f>N31</f>
        <v>0.3</v>
      </c>
      <c r="W52" s="1">
        <f>$U$20*$W$47*V52</f>
        <v>-2.6056140674506744E-5</v>
      </c>
      <c r="X52" s="2">
        <v>0.9</v>
      </c>
      <c r="Y52" s="1">
        <f>X52+W52</f>
        <v>0.8999739438593255</v>
      </c>
    </row>
    <row r="53" spans="14:25" ht="14.25" thickBot="1" x14ac:dyDescent="0.3">
      <c r="N53" s="3"/>
      <c r="O53" s="3"/>
      <c r="P53" s="3"/>
      <c r="Q53" s="3"/>
      <c r="R53" s="3"/>
      <c r="S53" s="3"/>
      <c r="T53" s="2" t="s">
        <v>3</v>
      </c>
      <c r="U53" s="2" t="s">
        <v>2</v>
      </c>
      <c r="V53" s="2">
        <f>N32</f>
        <v>0.6</v>
      </c>
      <c r="W53" s="1">
        <f>$U$20*$W$47*V53</f>
        <v>-5.2112281349013489E-5</v>
      </c>
      <c r="X53" s="2">
        <v>0.8</v>
      </c>
      <c r="Y53" s="1">
        <f>X53+W53</f>
        <v>0.799947887718651</v>
      </c>
    </row>
    <row r="54" spans="14:25" ht="14.25" thickBot="1" x14ac:dyDescent="0.3">
      <c r="N54" s="3"/>
      <c r="O54" s="3"/>
      <c r="P54" s="3"/>
      <c r="Q54" s="3"/>
      <c r="R54" s="3"/>
      <c r="S54" s="3"/>
      <c r="T54" s="2" t="s">
        <v>1</v>
      </c>
      <c r="U54" s="2" t="s">
        <v>2</v>
      </c>
      <c r="V54" s="2">
        <f>N33</f>
        <v>0.6</v>
      </c>
      <c r="W54" s="1">
        <f>$U$20*$W$47*V54</f>
        <v>-5.2112281349013489E-5</v>
      </c>
      <c r="X54" s="2">
        <v>0.4</v>
      </c>
      <c r="Y54" s="1">
        <f>X54+W54</f>
        <v>0.39994788771865103</v>
      </c>
    </row>
    <row r="55" spans="14:25" ht="14.25" thickBot="1" x14ac:dyDescent="0.3">
      <c r="N55" s="3"/>
      <c r="O55" s="3"/>
      <c r="P55" s="3"/>
      <c r="Q55" s="3"/>
      <c r="R55" s="3"/>
      <c r="S55" s="3"/>
      <c r="T55" s="2" t="s">
        <v>1</v>
      </c>
      <c r="U55" s="2" t="s">
        <v>0</v>
      </c>
      <c r="V55" s="2">
        <f>N34</f>
        <v>0.3</v>
      </c>
      <c r="W55" s="1">
        <f>$U$20*$W$47*V55</f>
        <v>-2.6056140674506744E-5</v>
      </c>
      <c r="X55" s="2">
        <v>0.2</v>
      </c>
      <c r="Y55" s="1">
        <f>X55+W55</f>
        <v>0.19997394385932551</v>
      </c>
    </row>
  </sheetData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12</xdr:col>
                <xdr:colOff>276225</xdr:colOff>
                <xdr:row>2</xdr:row>
                <xdr:rowOff>190500</xdr:rowOff>
              </from>
              <to>
                <xdr:col>18</xdr:col>
                <xdr:colOff>561975</xdr:colOff>
                <xdr:row>13</xdr:row>
                <xdr:rowOff>95250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 sizeWithCells="1">
              <from>
                <xdr:col>7</xdr:col>
                <xdr:colOff>19050</xdr:colOff>
                <xdr:row>3</xdr:row>
                <xdr:rowOff>76200</xdr:rowOff>
              </from>
              <to>
                <xdr:col>11</xdr:col>
                <xdr:colOff>371475</xdr:colOff>
                <xdr:row>7</xdr:row>
                <xdr:rowOff>38100</xdr:rowOff>
              </to>
            </anchor>
          </objectPr>
        </oleObject>
      </mc:Choice>
      <mc:Fallback>
        <oleObject progId="Equation.3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CS-513 Final 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Shaikh</dc:creator>
  <cp:lastModifiedBy>Ali Abdullah Ahmad</cp:lastModifiedBy>
  <dcterms:created xsi:type="dcterms:W3CDTF">2024-12-14T17:10:38Z</dcterms:created>
  <dcterms:modified xsi:type="dcterms:W3CDTF">2025-05-12T22:06:10Z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2025-05-12T21:19:36Z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218f90a4-1e34-4cbb-aee1-b2ce4cd93f31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