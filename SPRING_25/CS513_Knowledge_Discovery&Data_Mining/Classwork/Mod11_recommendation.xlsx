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vens GIT\Stevens_IT-MS_in_CS\SPRING_25\CS513_Knowledge_Discovery&amp;Data_Mining\Classwork\"/>
    </mc:Choice>
  </mc:AlternateContent>
  <xr:revisionPtr revIDLastSave="0" documentId="13_ncr:1_{60B387C2-0657-42CA-AF85-30BD0CCB26F0}" xr6:coauthVersionLast="47" xr6:coauthVersionMax="47" xr10:uidLastSave="{00000000-0000-0000-0000-000000000000}"/>
  <bookViews>
    <workbookView xWindow="-120" yWindow="-120" windowWidth="29040" windowHeight="16440" xr2:uid="{FFE04F9C-5475-4939-B91A-952E06053ADC}"/>
  </bookViews>
  <sheets>
    <sheet name="Content" sheetId="2" r:id="rId1"/>
    <sheet name="Colaborative" sheetId="1" r:id="rId2"/>
    <sheet name="Cosine_dist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 a="1"/>
  <c r="J10" i="3" s="1"/>
  <c r="I7" i="3" a="1"/>
  <c r="I7" i="3" s="1"/>
  <c r="O7" i="3"/>
  <c r="O6" i="3"/>
  <c r="N50" i="2" a="1"/>
  <c r="N50" i="2" s="1"/>
  <c r="L40" i="2" a="1"/>
  <c r="L40" i="2" s="1"/>
  <c r="G41" i="2"/>
  <c r="H41" i="2"/>
  <c r="F42" i="2"/>
  <c r="G42" i="2"/>
  <c r="H42" i="2"/>
  <c r="I42" i="2"/>
  <c r="F43" i="2"/>
  <c r="G43" i="2"/>
  <c r="H43" i="2"/>
  <c r="I43" i="2"/>
  <c r="G44" i="2"/>
  <c r="H44" i="2"/>
  <c r="F45" i="2"/>
  <c r="G45" i="2"/>
  <c r="H45" i="2"/>
  <c r="I45" i="2"/>
  <c r="F46" i="2"/>
  <c r="G46" i="2"/>
  <c r="H46" i="2"/>
  <c r="I46" i="2"/>
  <c r="G38" i="2"/>
  <c r="H38" i="2"/>
  <c r="I38" i="2"/>
  <c r="I41" i="2" s="1"/>
  <c r="F38" i="2"/>
  <c r="F41" i="2" s="1"/>
  <c r="G10" i="2"/>
  <c r="G13" i="2" s="1"/>
  <c r="H10" i="2"/>
  <c r="H14" i="2" s="1"/>
  <c r="I10" i="2"/>
  <c r="I14" i="2" s="1"/>
  <c r="J10" i="2"/>
  <c r="J14" i="2" s="1"/>
  <c r="K10" i="2"/>
  <c r="K14" i="2" s="1"/>
  <c r="F10" i="2"/>
  <c r="F12" i="2" s="1"/>
  <c r="H38" i="1" a="1"/>
  <c r="H38" i="1" s="1"/>
  <c r="R9" i="1"/>
  <c r="AA9" i="1" s="1"/>
  <c r="R8" i="1"/>
  <c r="X8" i="1" s="1"/>
  <c r="R6" i="1"/>
  <c r="X6" i="1" s="1"/>
  <c r="Q7" i="1"/>
  <c r="R7" i="1" s="1"/>
  <c r="Q8" i="1"/>
  <c r="Q9" i="1"/>
  <c r="Q6" i="1"/>
  <c r="I44" i="2" l="1"/>
  <c r="F44" i="2"/>
  <c r="J15" i="2"/>
  <c r="I15" i="2"/>
  <c r="G15" i="2"/>
  <c r="G14" i="2"/>
  <c r="F13" i="2"/>
  <c r="F14" i="2"/>
  <c r="K15" i="2"/>
  <c r="J13" i="2"/>
  <c r="I13" i="2"/>
  <c r="H13" i="2"/>
  <c r="K13" i="2"/>
  <c r="F15" i="2"/>
  <c r="H15" i="2"/>
  <c r="K12" i="2"/>
  <c r="J12" i="2"/>
  <c r="I12" i="2"/>
  <c r="Z8" i="1"/>
  <c r="Y8" i="1"/>
  <c r="V7" i="1"/>
  <c r="W7" i="1"/>
  <c r="U7" i="1"/>
  <c r="U6" i="1"/>
  <c r="Y6" i="1"/>
  <c r="V9" i="1"/>
  <c r="P12" i="2" l="1" a="1"/>
  <c r="P12" i="2" s="1"/>
  <c r="P19" i="2" s="1" a="1"/>
  <c r="P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<sst xmlns="http://schemas.openxmlformats.org/spreadsheetml/2006/main" count="143" uniqueCount="28">
  <si>
    <t>Movie 1</t>
  </si>
  <si>
    <t>Movie 2</t>
  </si>
  <si>
    <t>Movie 3</t>
  </si>
  <si>
    <t>Movie 4</t>
  </si>
  <si>
    <t>Movie 5</t>
  </si>
  <si>
    <t>Movie 6</t>
  </si>
  <si>
    <t>Movie 7</t>
  </si>
  <si>
    <t>A</t>
  </si>
  <si>
    <t xml:space="preserve"> </t>
  </si>
  <si>
    <t>B</t>
  </si>
  <si>
    <t>C</t>
  </si>
  <si>
    <t>D</t>
  </si>
  <si>
    <t>Individual</t>
  </si>
  <si>
    <t> Movie</t>
  </si>
  <si>
    <t>Actor1</t>
  </si>
  <si>
    <t>Actor2</t>
  </si>
  <si>
    <t>Actor3</t>
  </si>
  <si>
    <t>Actor4</t>
  </si>
  <si>
    <t>Actor5</t>
  </si>
  <si>
    <t>Actor6</t>
  </si>
  <si>
    <t>Rating</t>
  </si>
  <si>
    <t>COS(90*PI()/180)</t>
  </si>
  <si>
    <t>COS(0*PI()/180)</t>
  </si>
  <si>
    <t>J dist = m1 intersect 2/(m1 union m2)</t>
  </si>
  <si>
    <t>likes m1  suggest movie</t>
  </si>
  <si>
    <t xml:space="preserve">m1 and m2 </t>
  </si>
  <si>
    <t xml:space="preserve">m1 and m3 </t>
  </si>
  <si>
    <t>(closer the distance likely to recommend)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</si>
</sst>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00_);_(* \(#,##0.000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8"/>
      <name val="Aptos Narrow"/>
      <family val="2"/>
      <scheme val="minor"/>
    </font>
    <font>
      <sz val="10"/>
      <color rgb="FF1E1E1E"/>
      <name val="Segoe U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 readingOrder="1"/>
    </xf>
    <xf numFmtId="0" fontId="3" fillId="2" borderId="3" xfId="0" applyFont="1" applyFill="1" applyBorder="1" applyAlignment="1">
      <alignment horizontal="left" wrapText="1" readingOrder="1"/>
    </xf>
    <xf numFmtId="0" fontId="3" fillId="2" borderId="4" xfId="0" applyFont="1" applyFill="1" applyBorder="1" applyAlignment="1">
      <alignment horizontal="left" wrapText="1" readingOrder="1"/>
    </xf>
    <xf numFmtId="0" fontId="3" fillId="2" borderId="5" xfId="0" applyFont="1" applyFill="1" applyBorder="1" applyAlignment="1">
      <alignment horizontal="center" wrapText="1" readingOrder="1"/>
    </xf>
    <xf numFmtId="0" fontId="3" fillId="2" borderId="6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3" fillId="2" borderId="8" xfId="0" applyFont="1" applyFill="1" applyBorder="1" applyAlignment="1">
      <alignment horizontal="center" wrapText="1" readingOrder="1"/>
    </xf>
    <xf numFmtId="0" fontId="3" fillId="2" borderId="9" xfId="0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18" xfId="0" applyFont="1" applyBorder="1" applyAlignment="1">
      <alignment horizontal="center" wrapText="1" readingOrder="1"/>
    </xf>
    <xf numFmtId="0" fontId="5" fillId="0" borderId="19" xfId="0" applyFont="1" applyBorder="1" applyAlignment="1">
      <alignment horizontal="center" wrapText="1" readingOrder="1"/>
    </xf>
    <xf numFmtId="0" fontId="5" fillId="0" borderId="20" xfId="0" applyFont="1" applyBorder="1" applyAlignment="1">
      <alignment horizontal="center" wrapText="1" readingOrder="1"/>
    </xf>
    <xf numFmtId="0" fontId="4" fillId="3" borderId="10" xfId="0" applyFont="1" applyFill="1" applyBorder="1" applyAlignment="1">
      <alignment horizontal="left" wrapText="1" readingOrder="1"/>
    </xf>
    <xf numFmtId="0" fontId="4" fillId="3" borderId="21" xfId="0" applyFont="1" applyFill="1" applyBorder="1" applyAlignment="1">
      <alignment horizontal="left" wrapText="1" readingOrder="1"/>
    </xf>
    <xf numFmtId="0" fontId="4" fillId="3" borderId="22" xfId="0" applyFont="1" applyFill="1" applyBorder="1" applyAlignment="1">
      <alignment horizontal="left" wrapText="1" readingOrder="1"/>
    </xf>
    <xf numFmtId="0" fontId="4" fillId="3" borderId="23" xfId="0" applyFont="1" applyFill="1" applyBorder="1" applyAlignment="1">
      <alignment horizontal="center" wrapText="1" readingOrder="1"/>
    </xf>
    <xf numFmtId="0" fontId="5" fillId="0" borderId="24" xfId="0" applyFont="1" applyBorder="1" applyAlignment="1">
      <alignment horizontal="center" wrapText="1" readingOrder="1"/>
    </xf>
    <xf numFmtId="0" fontId="5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wrapText="1"/>
    </xf>
    <xf numFmtId="0" fontId="5" fillId="0" borderId="14" xfId="0" applyFont="1" applyBorder="1" applyAlignment="1">
      <alignment horizontal="center" wrapText="1" readingOrder="1"/>
    </xf>
    <xf numFmtId="0" fontId="4" fillId="3" borderId="25" xfId="0" applyFont="1" applyFill="1" applyBorder="1" applyAlignment="1">
      <alignment horizontal="center" wrapText="1" readingOrder="1"/>
    </xf>
    <xf numFmtId="0" fontId="5" fillId="0" borderId="26" xfId="0" applyFont="1" applyBorder="1" applyAlignment="1">
      <alignment horizontal="center" wrapText="1" readingOrder="1"/>
    </xf>
    <xf numFmtId="0" fontId="5" fillId="0" borderId="16" xfId="0" applyFont="1" applyBorder="1" applyAlignment="1">
      <alignment horizontal="center" wrapText="1" readingOrder="1"/>
    </xf>
    <xf numFmtId="0" fontId="5" fillId="0" borderId="17" xfId="0" applyFont="1" applyBorder="1" applyAlignment="1">
      <alignment horizontal="center" wrapText="1" readingOrder="1"/>
    </xf>
    <xf numFmtId="165" fontId="0" fillId="0" borderId="0" xfId="1" applyNumberFormat="1" applyFont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165" fontId="0" fillId="0" borderId="16" xfId="1" applyNumberFormat="1" applyFont="1" applyBorder="1" applyAlignment="1">
      <alignment horizontal="center"/>
    </xf>
    <xf numFmtId="165" fontId="0" fillId="0" borderId="17" xfId="1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0" borderId="0" xfId="0" quotePrefix="1" applyFont="1"/>
    <xf numFmtId="164" fontId="0" fillId="0" borderId="0" xfId="1" applyFon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4" borderId="0" xfId="0" applyFont="1" applyFill="1"/>
    <xf numFmtId="0" fontId="0" fillId="4" borderId="0" xfId="0" applyFill="1"/>
    <xf numFmtId="0" fontId="4" fillId="4" borderId="0" xfId="0" applyFont="1" applyFill="1" applyBorder="1" applyAlignment="1">
      <alignment horizontal="left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9256-FFFA-4B4D-8F5D-AA8D9DA7DB7D}">
  <dimension ref="E2:U53"/>
  <sheetViews>
    <sheetView tabSelected="1" topLeftCell="A22" workbookViewId="0">
      <selection activeCell="L40" sqref="L40"/>
    </sheetView>
  </sheetViews>
  <sheetFormatPr defaultRowHeight="15" x14ac:dyDescent="0.25"/>
  <cols>
    <col min="5" max="5" width="14.28515625" customWidth="1"/>
    <col min="6" max="11" width="12.140625" customWidth="1"/>
    <col min="14" max="14" width="31.140625" customWidth="1"/>
  </cols>
  <sheetData>
    <row r="2" spans="5:19" ht="15.75" thickBot="1" x14ac:dyDescent="0.3">
      <c r="N2" s="70" t="s">
        <v>24</v>
      </c>
      <c r="O2" s="70" t="s">
        <v>23</v>
      </c>
      <c r="P2" s="71"/>
      <c r="Q2" s="71"/>
      <c r="R2" s="71"/>
      <c r="S2" s="71"/>
    </row>
    <row r="3" spans="5:19" ht="21.75" thickBot="1" x14ac:dyDescent="0.4">
      <c r="E3" s="24" t="s">
        <v>13</v>
      </c>
      <c r="F3" s="25" t="s">
        <v>14</v>
      </c>
      <c r="G3" s="25" t="s">
        <v>15</v>
      </c>
      <c r="H3" s="25" t="s">
        <v>16</v>
      </c>
      <c r="I3" s="25" t="s">
        <v>17</v>
      </c>
      <c r="J3" s="25" t="s">
        <v>18</v>
      </c>
      <c r="K3" s="25" t="s">
        <v>19</v>
      </c>
      <c r="L3" s="26" t="s">
        <v>20</v>
      </c>
      <c r="N3" s="72" t="s">
        <v>25</v>
      </c>
      <c r="O3" s="71">
        <v>2</v>
      </c>
      <c r="P3" s="71"/>
      <c r="Q3" s="71"/>
      <c r="R3" s="71"/>
      <c r="S3" s="71"/>
    </row>
    <row r="4" spans="5:19" ht="21" x14ac:dyDescent="0.35">
      <c r="E4" s="27" t="s">
        <v>0</v>
      </c>
      <c r="F4" s="21">
        <v>1</v>
      </c>
      <c r="G4" s="22" t="s">
        <v>8</v>
      </c>
      <c r="H4" s="22" t="s">
        <v>8</v>
      </c>
      <c r="I4" s="22">
        <v>1</v>
      </c>
      <c r="J4" s="22">
        <v>1</v>
      </c>
      <c r="K4" s="22"/>
      <c r="L4" s="28">
        <v>5</v>
      </c>
      <c r="N4" s="71" t="s">
        <v>26</v>
      </c>
      <c r="O4" s="71">
        <v>0.5</v>
      </c>
      <c r="P4" s="70" t="s">
        <v>27</v>
      </c>
      <c r="Q4" s="71"/>
      <c r="R4" s="71"/>
      <c r="S4" s="71"/>
    </row>
    <row r="5" spans="5:19" ht="23.25" x14ac:dyDescent="0.35">
      <c r="E5" s="27" t="s">
        <v>1</v>
      </c>
      <c r="F5" s="23">
        <v>1</v>
      </c>
      <c r="G5" s="29">
        <v>1</v>
      </c>
      <c r="H5" s="29">
        <v>1</v>
      </c>
      <c r="I5" s="30"/>
      <c r="J5" s="30"/>
      <c r="K5" s="30"/>
      <c r="L5" s="31">
        <v>4</v>
      </c>
    </row>
    <row r="6" spans="5:19" ht="23.25" x14ac:dyDescent="0.35">
      <c r="E6" s="27" t="s">
        <v>2</v>
      </c>
      <c r="F6" s="23"/>
      <c r="G6" s="30"/>
      <c r="H6" s="30"/>
      <c r="I6" s="29">
        <v>1</v>
      </c>
      <c r="J6" s="29">
        <v>1</v>
      </c>
      <c r="K6" s="29">
        <v>1</v>
      </c>
      <c r="L6" s="31">
        <v>2</v>
      </c>
    </row>
    <row r="7" spans="5:19" ht="21.75" thickBot="1" x14ac:dyDescent="0.4">
      <c r="E7" s="32" t="s">
        <v>3</v>
      </c>
      <c r="F7" s="33"/>
      <c r="G7" s="34">
        <v>1</v>
      </c>
      <c r="H7" s="34"/>
      <c r="I7" s="34"/>
      <c r="J7" s="34"/>
      <c r="K7" s="34"/>
      <c r="L7" s="35">
        <v>4</v>
      </c>
    </row>
    <row r="10" spans="5:19" x14ac:dyDescent="0.25">
      <c r="F10" s="16">
        <f>SQRT(SUM(F4:F7))</f>
        <v>1.4142135623730951</v>
      </c>
      <c r="G10" s="16">
        <f t="shared" ref="G10:K10" si="0">SQRT(SUM(G4:G7))</f>
        <v>1.4142135623730951</v>
      </c>
      <c r="H10" s="16">
        <f t="shared" si="0"/>
        <v>1</v>
      </c>
      <c r="I10" s="16">
        <f t="shared" si="0"/>
        <v>1.4142135623730951</v>
      </c>
      <c r="J10" s="16">
        <f t="shared" si="0"/>
        <v>1.4142135623730951</v>
      </c>
      <c r="K10" s="16">
        <f t="shared" si="0"/>
        <v>1</v>
      </c>
      <c r="L10" s="16" t="s">
        <v>8</v>
      </c>
    </row>
    <row r="11" spans="5:19" ht="15.75" thickBot="1" x14ac:dyDescent="0.3"/>
    <row r="12" spans="5:19" x14ac:dyDescent="0.25">
      <c r="F12" s="37">
        <f>F4/F$10</f>
        <v>0.70710678118654746</v>
      </c>
      <c r="G12" s="38">
        <v>0</v>
      </c>
      <c r="H12" s="38">
        <v>0</v>
      </c>
      <c r="I12" s="38">
        <f t="shared" ref="I12:K12" si="1">I4/I$10</f>
        <v>0.70710678118654746</v>
      </c>
      <c r="J12" s="38">
        <f t="shared" si="1"/>
        <v>0.70710678118654746</v>
      </c>
      <c r="K12" s="39">
        <f t="shared" si="1"/>
        <v>0</v>
      </c>
      <c r="P12" s="62" cm="1">
        <f t="array" ref="P12:S17">TRANSPOSE(F12:K15)</f>
        <v>0.70710678118654746</v>
      </c>
      <c r="Q12" s="63">
        <v>0.70710678118654746</v>
      </c>
      <c r="R12" s="63">
        <v>0</v>
      </c>
      <c r="S12" s="64">
        <v>0</v>
      </c>
    </row>
    <row r="13" spans="5:19" x14ac:dyDescent="0.25">
      <c r="F13" s="40">
        <f t="shared" ref="F13:K15" si="2">F5/F$10</f>
        <v>0.70710678118654746</v>
      </c>
      <c r="G13" s="41">
        <f t="shared" si="2"/>
        <v>0.70710678118654746</v>
      </c>
      <c r="H13" s="41">
        <f t="shared" si="2"/>
        <v>1</v>
      </c>
      <c r="I13" s="41">
        <f t="shared" si="2"/>
        <v>0</v>
      </c>
      <c r="J13" s="41">
        <f t="shared" si="2"/>
        <v>0</v>
      </c>
      <c r="K13" s="42">
        <f t="shared" si="2"/>
        <v>0</v>
      </c>
      <c r="P13" s="65">
        <v>0</v>
      </c>
      <c r="Q13" s="46">
        <v>0.70710678118654746</v>
      </c>
      <c r="R13" s="46">
        <v>0</v>
      </c>
      <c r="S13" s="66">
        <v>0.70710678118654746</v>
      </c>
    </row>
    <row r="14" spans="5:19" x14ac:dyDescent="0.25">
      <c r="F14" s="40">
        <f t="shared" si="2"/>
        <v>0</v>
      </c>
      <c r="G14" s="41">
        <f t="shared" si="2"/>
        <v>0</v>
      </c>
      <c r="H14" s="41">
        <f t="shared" si="2"/>
        <v>0</v>
      </c>
      <c r="I14" s="41">
        <f t="shared" si="2"/>
        <v>0.70710678118654746</v>
      </c>
      <c r="J14" s="41">
        <f t="shared" si="2"/>
        <v>0.70710678118654746</v>
      </c>
      <c r="K14" s="42">
        <f t="shared" si="2"/>
        <v>1</v>
      </c>
      <c r="P14" s="65">
        <v>0</v>
      </c>
      <c r="Q14" s="46">
        <v>1</v>
      </c>
      <c r="R14" s="46">
        <v>0</v>
      </c>
      <c r="S14" s="66">
        <v>0</v>
      </c>
    </row>
    <row r="15" spans="5:19" ht="15.75" thickBot="1" x14ac:dyDescent="0.3">
      <c r="F15" s="43">
        <f t="shared" si="2"/>
        <v>0</v>
      </c>
      <c r="G15" s="44">
        <f t="shared" si="2"/>
        <v>0.70710678118654746</v>
      </c>
      <c r="H15" s="44">
        <f t="shared" si="2"/>
        <v>0</v>
      </c>
      <c r="I15" s="44">
        <f t="shared" si="2"/>
        <v>0</v>
      </c>
      <c r="J15" s="44">
        <f t="shared" si="2"/>
        <v>0</v>
      </c>
      <c r="K15" s="45">
        <f t="shared" si="2"/>
        <v>0</v>
      </c>
      <c r="P15" s="65">
        <v>0.70710678118654746</v>
      </c>
      <c r="Q15" s="46">
        <v>0</v>
      </c>
      <c r="R15" s="46">
        <v>0.70710678118654746</v>
      </c>
      <c r="S15" s="66">
        <v>0</v>
      </c>
    </row>
    <row r="16" spans="5:19" x14ac:dyDescent="0.25">
      <c r="P16" s="65">
        <v>0.70710678118654746</v>
      </c>
      <c r="Q16" s="46">
        <v>0</v>
      </c>
      <c r="R16" s="46">
        <v>0.70710678118654746</v>
      </c>
      <c r="S16" s="66">
        <v>0</v>
      </c>
    </row>
    <row r="17" spans="5:21" ht="15.75" thickBot="1" x14ac:dyDescent="0.3">
      <c r="P17" s="67">
        <v>0</v>
      </c>
      <c r="Q17" s="68">
        <v>0</v>
      </c>
      <c r="R17" s="68">
        <v>1</v>
      </c>
      <c r="S17" s="69">
        <v>0</v>
      </c>
    </row>
    <row r="18" spans="5:21" ht="15.75" thickBot="1" x14ac:dyDescent="0.3">
      <c r="P18" t="s">
        <v>14</v>
      </c>
      <c r="Q18" t="s">
        <v>15</v>
      </c>
      <c r="R18" t="s">
        <v>16</v>
      </c>
      <c r="S18" t="s">
        <v>17</v>
      </c>
      <c r="T18" t="s">
        <v>18</v>
      </c>
      <c r="U18" t="s">
        <v>19</v>
      </c>
    </row>
    <row r="19" spans="5:21" x14ac:dyDescent="0.25">
      <c r="O19" t="s">
        <v>14</v>
      </c>
      <c r="P19" s="48" cm="1">
        <f t="array" ref="P19:U24">MMULT(_xlfn.ANCHORARRAY(P12),F12:K15)</f>
        <v>0.99999999999999978</v>
      </c>
      <c r="Q19" s="49">
        <v>0.49999999999999989</v>
      </c>
      <c r="R19" s="49">
        <v>0.70710678118654746</v>
      </c>
      <c r="S19" s="49">
        <v>0.49999999999999989</v>
      </c>
      <c r="T19" s="49">
        <v>0.49999999999999989</v>
      </c>
      <c r="U19" s="50">
        <v>0</v>
      </c>
    </row>
    <row r="20" spans="5:21" x14ac:dyDescent="0.25">
      <c r="O20" t="s">
        <v>15</v>
      </c>
      <c r="P20" s="51">
        <v>0.49999999999999989</v>
      </c>
      <c r="Q20" s="47">
        <v>0.99999999999999978</v>
      </c>
      <c r="R20" s="47">
        <v>0.70710678118654746</v>
      </c>
      <c r="S20" s="47">
        <v>0</v>
      </c>
      <c r="T20" s="47">
        <v>0</v>
      </c>
      <c r="U20" s="52">
        <v>0</v>
      </c>
    </row>
    <row r="21" spans="5:21" x14ac:dyDescent="0.25">
      <c r="O21" t="s">
        <v>16</v>
      </c>
      <c r="P21" s="51">
        <v>0.70710678118654746</v>
      </c>
      <c r="Q21" s="47">
        <v>0.70710678118654746</v>
      </c>
      <c r="R21" s="47">
        <v>1</v>
      </c>
      <c r="S21" s="47">
        <v>0</v>
      </c>
      <c r="T21" s="47">
        <v>0</v>
      </c>
      <c r="U21" s="52">
        <v>0</v>
      </c>
    </row>
    <row r="22" spans="5:21" x14ac:dyDescent="0.25">
      <c r="O22" t="s">
        <v>17</v>
      </c>
      <c r="P22" s="51">
        <v>0.49999999999999989</v>
      </c>
      <c r="Q22" s="47">
        <v>0</v>
      </c>
      <c r="R22" s="47">
        <v>0</v>
      </c>
      <c r="S22" s="47">
        <v>0.99999999999999978</v>
      </c>
      <c r="T22" s="47">
        <v>0.99999999999999978</v>
      </c>
      <c r="U22" s="52">
        <v>0.70710678118654746</v>
      </c>
    </row>
    <row r="23" spans="5:21" x14ac:dyDescent="0.25">
      <c r="O23" t="s">
        <v>18</v>
      </c>
      <c r="P23" s="51">
        <v>0.49999999999999989</v>
      </c>
      <c r="Q23" s="47">
        <v>0</v>
      </c>
      <c r="R23" s="47">
        <v>0</v>
      </c>
      <c r="S23" s="47">
        <v>0.99999999999999978</v>
      </c>
      <c r="T23" s="47">
        <v>0.99999999999999978</v>
      </c>
      <c r="U23" s="52">
        <v>0.70710678118654746</v>
      </c>
    </row>
    <row r="24" spans="5:21" ht="15.75" thickBot="1" x14ac:dyDescent="0.3">
      <c r="O24" t="s">
        <v>19</v>
      </c>
      <c r="P24" s="53">
        <v>0</v>
      </c>
      <c r="Q24" s="54">
        <v>0</v>
      </c>
      <c r="R24" s="54">
        <v>0</v>
      </c>
      <c r="S24" s="54">
        <v>0.70710678118654746</v>
      </c>
      <c r="T24" s="54">
        <v>0.70710678118654746</v>
      </c>
      <c r="U24" s="55">
        <v>1</v>
      </c>
    </row>
    <row r="30" spans="5:21" x14ac:dyDescent="0.25">
      <c r="E30" s="47" t="s">
        <v>13</v>
      </c>
      <c r="F30" s="47" t="s">
        <v>0</v>
      </c>
      <c r="G30" s="47" t="s">
        <v>1</v>
      </c>
      <c r="H30" s="47" t="s">
        <v>2</v>
      </c>
      <c r="I30" s="47" t="s">
        <v>3</v>
      </c>
    </row>
    <row r="31" spans="5:21" x14ac:dyDescent="0.25">
      <c r="E31" s="47" t="s">
        <v>14</v>
      </c>
      <c r="F31" s="47">
        <v>1</v>
      </c>
      <c r="G31" s="47">
        <v>1</v>
      </c>
      <c r="H31" s="47">
        <v>0</v>
      </c>
      <c r="I31" s="47">
        <v>0</v>
      </c>
    </row>
    <row r="32" spans="5:21" x14ac:dyDescent="0.25">
      <c r="E32" s="47" t="s">
        <v>15</v>
      </c>
      <c r="F32" s="47">
        <v>0</v>
      </c>
      <c r="G32" s="47">
        <v>1</v>
      </c>
      <c r="H32" s="47">
        <v>0</v>
      </c>
      <c r="I32" s="47">
        <v>1</v>
      </c>
      <c r="K32" s="61" t="s">
        <v>8</v>
      </c>
    </row>
    <row r="33" spans="5:17" x14ac:dyDescent="0.25">
      <c r="E33" s="47" t="s">
        <v>16</v>
      </c>
      <c r="F33" s="47">
        <v>0</v>
      </c>
      <c r="G33" s="47">
        <v>1</v>
      </c>
      <c r="H33" s="47">
        <v>0</v>
      </c>
      <c r="I33" s="47">
        <v>0</v>
      </c>
    </row>
    <row r="34" spans="5:17" x14ac:dyDescent="0.25">
      <c r="E34" s="47" t="s">
        <v>17</v>
      </c>
      <c r="F34" s="47">
        <v>1</v>
      </c>
      <c r="G34" s="47">
        <v>0</v>
      </c>
      <c r="H34" s="47">
        <v>1</v>
      </c>
      <c r="I34" s="47">
        <v>0</v>
      </c>
    </row>
    <row r="35" spans="5:17" x14ac:dyDescent="0.25">
      <c r="E35" s="47" t="s">
        <v>18</v>
      </c>
      <c r="F35" s="47">
        <v>1</v>
      </c>
      <c r="G35" s="47">
        <v>0</v>
      </c>
      <c r="H35" s="47">
        <v>1</v>
      </c>
      <c r="I35" s="47">
        <v>0</v>
      </c>
    </row>
    <row r="36" spans="5:17" x14ac:dyDescent="0.25">
      <c r="E36" s="47" t="s">
        <v>19</v>
      </c>
      <c r="F36" s="47">
        <v>0</v>
      </c>
      <c r="G36" s="47">
        <v>0</v>
      </c>
      <c r="H36" s="47">
        <v>1</v>
      </c>
      <c r="I36" s="47">
        <v>0</v>
      </c>
    </row>
    <row r="38" spans="5:17" x14ac:dyDescent="0.25">
      <c r="F38" s="36">
        <f>SQRT(SUM(F31:F36))</f>
        <v>1.7320508075688772</v>
      </c>
      <c r="G38" s="36">
        <f t="shared" ref="G38:I38" si="3">SQRT(SUM(G31:G36))</f>
        <v>1.7320508075688772</v>
      </c>
      <c r="H38" s="36">
        <f t="shared" si="3"/>
        <v>1.7320508075688772</v>
      </c>
      <c r="I38" s="36">
        <f t="shared" si="3"/>
        <v>1</v>
      </c>
    </row>
    <row r="39" spans="5:17" ht="15.75" thickBot="1" x14ac:dyDescent="0.3">
      <c r="F39" s="36"/>
      <c r="G39" s="36"/>
      <c r="H39" s="36"/>
      <c r="I39" s="36"/>
    </row>
    <row r="40" spans="5:17" x14ac:dyDescent="0.25">
      <c r="E40" s="47"/>
      <c r="F40" s="47" t="s">
        <v>0</v>
      </c>
      <c r="G40" s="47" t="s">
        <v>1</v>
      </c>
      <c r="H40" s="47" t="s">
        <v>2</v>
      </c>
      <c r="I40" s="47" t="s">
        <v>3</v>
      </c>
      <c r="L40" s="48" cm="1">
        <f t="array" ref="L40:Q43">TRANSPOSE(F41:I46)</f>
        <v>0.57735026918962584</v>
      </c>
      <c r="M40" s="49">
        <v>0</v>
      </c>
      <c r="N40" s="49">
        <v>0</v>
      </c>
      <c r="O40" s="49">
        <v>0.57735026918962584</v>
      </c>
      <c r="P40" s="49">
        <v>0.57735026918962584</v>
      </c>
      <c r="Q40" s="50">
        <v>0</v>
      </c>
    </row>
    <row r="41" spans="5:17" x14ac:dyDescent="0.25">
      <c r="E41" s="47" t="s">
        <v>14</v>
      </c>
      <c r="F41" s="56">
        <f>F31/F$38</f>
        <v>0.57735026918962584</v>
      </c>
      <c r="G41" s="56">
        <f t="shared" ref="G41:I41" si="4">G31/G$38</f>
        <v>0.57735026918962584</v>
      </c>
      <c r="H41" s="56">
        <f t="shared" si="4"/>
        <v>0</v>
      </c>
      <c r="I41" s="56">
        <f t="shared" si="4"/>
        <v>0</v>
      </c>
      <c r="L41" s="51">
        <v>0.57735026918962584</v>
      </c>
      <c r="M41" s="47">
        <v>0.57735026918962584</v>
      </c>
      <c r="N41" s="47">
        <v>0.57735026918962584</v>
      </c>
      <c r="O41" s="47">
        <v>0</v>
      </c>
      <c r="P41" s="47">
        <v>0</v>
      </c>
      <c r="Q41" s="52">
        <v>0</v>
      </c>
    </row>
    <row r="42" spans="5:17" x14ac:dyDescent="0.25">
      <c r="E42" s="47" t="s">
        <v>15</v>
      </c>
      <c r="F42" s="56">
        <f t="shared" ref="F42:I42" si="5">F32/F$38</f>
        <v>0</v>
      </c>
      <c r="G42" s="56">
        <f t="shared" si="5"/>
        <v>0.57735026918962584</v>
      </c>
      <c r="H42" s="56">
        <f t="shared" si="5"/>
        <v>0</v>
      </c>
      <c r="I42" s="56">
        <f t="shared" si="5"/>
        <v>1</v>
      </c>
      <c r="L42" s="51">
        <v>0</v>
      </c>
      <c r="M42" s="47">
        <v>0</v>
      </c>
      <c r="N42" s="47">
        <v>0</v>
      </c>
      <c r="O42" s="47">
        <v>0.57735026918962584</v>
      </c>
      <c r="P42" s="47">
        <v>0.57735026918962584</v>
      </c>
      <c r="Q42" s="52">
        <v>0.57735026918962584</v>
      </c>
    </row>
    <row r="43" spans="5:17" ht="15.75" thickBot="1" x14ac:dyDescent="0.3">
      <c r="E43" s="47" t="s">
        <v>16</v>
      </c>
      <c r="F43" s="56">
        <f t="shared" ref="F43:I43" si="6">F33/F$38</f>
        <v>0</v>
      </c>
      <c r="G43" s="56">
        <f t="shared" si="6"/>
        <v>0.57735026918962584</v>
      </c>
      <c r="H43" s="56">
        <f t="shared" si="6"/>
        <v>0</v>
      </c>
      <c r="I43" s="56">
        <f t="shared" si="6"/>
        <v>0</v>
      </c>
      <c r="L43" s="53">
        <v>0</v>
      </c>
      <c r="M43" s="54">
        <v>1</v>
      </c>
      <c r="N43" s="54">
        <v>0</v>
      </c>
      <c r="O43" s="54">
        <v>0</v>
      </c>
      <c r="P43" s="54">
        <v>0</v>
      </c>
      <c r="Q43" s="55">
        <v>0</v>
      </c>
    </row>
    <row r="44" spans="5:17" x14ac:dyDescent="0.25">
      <c r="E44" s="47" t="s">
        <v>17</v>
      </c>
      <c r="F44" s="56">
        <f t="shared" ref="F44:I44" si="7">F34/F$38</f>
        <v>0.57735026918962584</v>
      </c>
      <c r="G44" s="56">
        <f t="shared" si="7"/>
        <v>0</v>
      </c>
      <c r="H44" s="56">
        <f t="shared" si="7"/>
        <v>0.57735026918962584</v>
      </c>
      <c r="I44" s="56">
        <f t="shared" si="7"/>
        <v>0</v>
      </c>
    </row>
    <row r="45" spans="5:17" x14ac:dyDescent="0.25">
      <c r="E45" s="47" t="s">
        <v>18</v>
      </c>
      <c r="F45" s="56">
        <f t="shared" ref="F45:I45" si="8">F35/F$38</f>
        <v>0.57735026918962584</v>
      </c>
      <c r="G45" s="56">
        <f t="shared" si="8"/>
        <v>0</v>
      </c>
      <c r="H45" s="56">
        <f t="shared" si="8"/>
        <v>0.57735026918962584</v>
      </c>
      <c r="I45" s="56">
        <f t="shared" si="8"/>
        <v>0</v>
      </c>
    </row>
    <row r="46" spans="5:17" x14ac:dyDescent="0.25">
      <c r="E46" s="47" t="s">
        <v>19</v>
      </c>
      <c r="F46" s="56">
        <f t="shared" ref="F46:I46" si="9">F36/F$38</f>
        <v>0</v>
      </c>
      <c r="G46" s="56">
        <f t="shared" si="9"/>
        <v>0</v>
      </c>
      <c r="H46" s="56">
        <f t="shared" si="9"/>
        <v>0.57735026918962584</v>
      </c>
      <c r="I46" s="56">
        <f t="shared" si="9"/>
        <v>0</v>
      </c>
    </row>
    <row r="48" spans="5:17" ht="15.75" thickBot="1" x14ac:dyDescent="0.3"/>
    <row r="49" spans="13:17" x14ac:dyDescent="0.25">
      <c r="M49" s="48"/>
      <c r="N49" s="49" t="s">
        <v>0</v>
      </c>
      <c r="O49" s="49" t="s">
        <v>1</v>
      </c>
      <c r="P49" s="49" t="s">
        <v>2</v>
      </c>
      <c r="Q49" s="50" t="s">
        <v>3</v>
      </c>
    </row>
    <row r="50" spans="13:17" x14ac:dyDescent="0.25">
      <c r="M50" s="51" t="s">
        <v>0</v>
      </c>
      <c r="N50" s="47" cm="1">
        <f t="array" ref="N50:Q53">MMULT(_xlfn.ANCHORARRAY(L40),F41:I46)</f>
        <v>1.0000000000000002</v>
      </c>
      <c r="O50" s="47">
        <v>0.33333333333333343</v>
      </c>
      <c r="P50" s="47">
        <v>0.66666666666666685</v>
      </c>
      <c r="Q50" s="52">
        <v>0</v>
      </c>
    </row>
    <row r="51" spans="13:17" x14ac:dyDescent="0.25">
      <c r="M51" s="51" t="s">
        <v>1</v>
      </c>
      <c r="N51" s="47">
        <v>0.33333333333333343</v>
      </c>
      <c r="O51" s="47">
        <v>1.0000000000000002</v>
      </c>
      <c r="P51" s="47">
        <v>0</v>
      </c>
      <c r="Q51" s="52">
        <v>0.57735026918962584</v>
      </c>
    </row>
    <row r="52" spans="13:17" x14ac:dyDescent="0.25">
      <c r="M52" s="51" t="s">
        <v>2</v>
      </c>
      <c r="N52" s="47">
        <v>0.66666666666666685</v>
      </c>
      <c r="O52" s="47">
        <v>0</v>
      </c>
      <c r="P52" s="47">
        <v>1.0000000000000002</v>
      </c>
      <c r="Q52" s="52">
        <v>0</v>
      </c>
    </row>
    <row r="53" spans="13:17" ht="15.75" thickBot="1" x14ac:dyDescent="0.3">
      <c r="M53" s="53" t="s">
        <v>3</v>
      </c>
      <c r="N53" s="54">
        <v>0</v>
      </c>
      <c r="O53" s="54">
        <v>0.57735026918962584</v>
      </c>
      <c r="P53" s="54">
        <v>0</v>
      </c>
      <c r="Q53" s="55">
        <v>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6263-1162-4DD3-90E2-F3BA40FD118A}">
  <dimension ref="H4:AA45"/>
  <sheetViews>
    <sheetView topLeftCell="G31" workbookViewId="0">
      <selection activeCell="M44" sqref="M44"/>
    </sheetView>
  </sheetViews>
  <sheetFormatPr defaultRowHeight="15" x14ac:dyDescent="0.25"/>
  <cols>
    <col min="21" max="21" width="11.5703125" bestFit="1" customWidth="1"/>
    <col min="24" max="24" width="12.28515625" bestFit="1" customWidth="1"/>
  </cols>
  <sheetData>
    <row r="4" spans="8:27" ht="15.75" thickBot="1" x14ac:dyDescent="0.3"/>
    <row r="5" spans="8:27" ht="22.9" customHeight="1" x14ac:dyDescent="0.25">
      <c r="H5" s="4" t="s">
        <v>12</v>
      </c>
      <c r="I5" s="5" t="s">
        <v>0</v>
      </c>
      <c r="J5" s="5" t="s">
        <v>1</v>
      </c>
      <c r="K5" s="5" t="s">
        <v>2</v>
      </c>
      <c r="L5" s="5" t="s">
        <v>3</v>
      </c>
      <c r="M5" s="5" t="s">
        <v>4</v>
      </c>
      <c r="N5" s="5" t="s">
        <v>5</v>
      </c>
      <c r="O5" s="6" t="s">
        <v>6</v>
      </c>
      <c r="T5" s="4"/>
      <c r="U5" s="5" t="s">
        <v>0</v>
      </c>
      <c r="V5" s="5" t="s">
        <v>1</v>
      </c>
      <c r="W5" s="5" t="s">
        <v>2</v>
      </c>
      <c r="X5" s="5" t="s">
        <v>3</v>
      </c>
      <c r="Y5" s="5" t="s">
        <v>4</v>
      </c>
      <c r="Z5" s="5" t="s">
        <v>5</v>
      </c>
      <c r="AA5" s="6" t="s">
        <v>6</v>
      </c>
    </row>
    <row r="6" spans="8:27" ht="22.9" customHeight="1" x14ac:dyDescent="0.25">
      <c r="H6" s="7" t="s">
        <v>7</v>
      </c>
      <c r="I6" s="2">
        <v>4</v>
      </c>
      <c r="J6" s="2" t="s">
        <v>8</v>
      </c>
      <c r="K6" s="2" t="s">
        <v>8</v>
      </c>
      <c r="L6" s="2">
        <v>5</v>
      </c>
      <c r="M6" s="2">
        <v>1</v>
      </c>
      <c r="N6" s="2"/>
      <c r="O6" s="8"/>
      <c r="P6" t="s">
        <v>8</v>
      </c>
      <c r="Q6">
        <f>SUM(I6:P6)</f>
        <v>10</v>
      </c>
      <c r="R6">
        <f>Q6/3</f>
        <v>3.3333333333333335</v>
      </c>
      <c r="T6" s="7" t="s">
        <v>7</v>
      </c>
      <c r="U6" s="2">
        <f>I6-$R$6</f>
        <v>0.66666666666666652</v>
      </c>
      <c r="V6" s="2" t="s">
        <v>8</v>
      </c>
      <c r="W6" s="2" t="s">
        <v>8</v>
      </c>
      <c r="X6" s="2">
        <f t="shared" ref="X6:Y6" si="0">L6-$R$6</f>
        <v>1.6666666666666665</v>
      </c>
      <c r="Y6" s="2">
        <f t="shared" si="0"/>
        <v>-2.3333333333333335</v>
      </c>
      <c r="Z6" s="2" t="s">
        <v>8</v>
      </c>
      <c r="AA6" s="2" t="s">
        <v>8</v>
      </c>
    </row>
    <row r="7" spans="8:27" ht="22.9" customHeight="1" x14ac:dyDescent="0.35">
      <c r="H7" s="7" t="s">
        <v>9</v>
      </c>
      <c r="I7" s="2">
        <v>5</v>
      </c>
      <c r="J7" s="2">
        <v>5</v>
      </c>
      <c r="K7" s="2">
        <v>4</v>
      </c>
      <c r="L7" s="3"/>
      <c r="M7" s="3"/>
      <c r="N7" s="3"/>
      <c r="O7" s="8"/>
      <c r="Q7">
        <f t="shared" ref="Q7:Q9" si="1">SUM(I7:P7)</f>
        <v>14</v>
      </c>
      <c r="R7">
        <f>Q7/3</f>
        <v>4.666666666666667</v>
      </c>
      <c r="T7" s="7" t="s">
        <v>9</v>
      </c>
      <c r="U7" s="2">
        <f>I7-$R$7</f>
        <v>0.33333333333333304</v>
      </c>
      <c r="V7" s="2">
        <f t="shared" ref="V7:W7" si="2">J7-$R$7</f>
        <v>0.33333333333333304</v>
      </c>
      <c r="W7" s="2">
        <f t="shared" si="2"/>
        <v>-0.66666666666666696</v>
      </c>
      <c r="X7" s="3"/>
      <c r="Y7" s="3"/>
      <c r="Z7" s="3"/>
      <c r="AA7" s="8"/>
    </row>
    <row r="8" spans="8:27" ht="22.9" customHeight="1" x14ac:dyDescent="0.35">
      <c r="H8" s="7" t="s">
        <v>10</v>
      </c>
      <c r="I8" s="2"/>
      <c r="J8" s="3"/>
      <c r="K8" s="3"/>
      <c r="L8" s="2">
        <v>2</v>
      </c>
      <c r="M8" s="2">
        <v>4</v>
      </c>
      <c r="N8" s="2">
        <v>5</v>
      </c>
      <c r="O8" s="8"/>
      <c r="Q8">
        <f t="shared" si="1"/>
        <v>11</v>
      </c>
      <c r="R8">
        <f>Q8/3</f>
        <v>3.6666666666666665</v>
      </c>
      <c r="T8" s="7" t="s">
        <v>10</v>
      </c>
      <c r="U8" s="2"/>
      <c r="V8" s="3"/>
      <c r="W8" s="3"/>
      <c r="X8" s="2">
        <f>L8-$R$8</f>
        <v>-1.6666666666666665</v>
      </c>
      <c r="Y8" s="2">
        <f t="shared" ref="Y8:Z8" si="3">M8-$R$8</f>
        <v>0.33333333333333348</v>
      </c>
      <c r="Z8" s="2">
        <f t="shared" si="3"/>
        <v>1.3333333333333335</v>
      </c>
      <c r="AA8" s="8"/>
    </row>
    <row r="9" spans="8:27" ht="22.9" customHeight="1" thickBot="1" x14ac:dyDescent="0.3">
      <c r="H9" s="9" t="s">
        <v>11</v>
      </c>
      <c r="I9" s="10"/>
      <c r="J9" s="10">
        <v>3</v>
      </c>
      <c r="K9" s="10"/>
      <c r="L9" s="10"/>
      <c r="M9" s="10"/>
      <c r="N9" s="10"/>
      <c r="O9" s="11">
        <v>3</v>
      </c>
      <c r="Q9">
        <f t="shared" si="1"/>
        <v>6</v>
      </c>
      <c r="R9">
        <f>Q9/2</f>
        <v>3</v>
      </c>
      <c r="T9" s="9" t="s">
        <v>11</v>
      </c>
      <c r="U9" s="10"/>
      <c r="V9" s="10">
        <f>J9-$R$9</f>
        <v>0</v>
      </c>
      <c r="W9" s="10"/>
      <c r="X9" s="10"/>
      <c r="Y9" s="10"/>
      <c r="Z9" s="10"/>
      <c r="AA9" s="10">
        <f>O9-$R$9</f>
        <v>0</v>
      </c>
    </row>
    <row r="12" spans="8:27" x14ac:dyDescent="0.25">
      <c r="V12" t="s">
        <v>8</v>
      </c>
    </row>
    <row r="13" spans="8:27" ht="15.75" thickBot="1" x14ac:dyDescent="0.3"/>
    <row r="14" spans="8:27" ht="26.45" customHeight="1" x14ac:dyDescent="0.25">
      <c r="H14" s="4" t="s">
        <v>12</v>
      </c>
      <c r="I14" s="5" t="s">
        <v>0</v>
      </c>
      <c r="J14" s="5" t="s">
        <v>1</v>
      </c>
      <c r="K14" s="5" t="s">
        <v>2</v>
      </c>
      <c r="L14" s="5" t="s">
        <v>3</v>
      </c>
      <c r="M14" s="5" t="s">
        <v>4</v>
      </c>
      <c r="N14" s="5" t="s">
        <v>5</v>
      </c>
      <c r="O14" s="6" t="s">
        <v>6</v>
      </c>
    </row>
    <row r="15" spans="8:27" ht="26.45" customHeight="1" x14ac:dyDescent="0.25">
      <c r="H15" s="7" t="s">
        <v>7</v>
      </c>
      <c r="I15" s="2">
        <v>1</v>
      </c>
      <c r="J15" s="2" t="s">
        <v>8</v>
      </c>
      <c r="K15" s="2" t="s">
        <v>8</v>
      </c>
      <c r="L15" s="2">
        <v>1</v>
      </c>
      <c r="M15" s="2">
        <v>1</v>
      </c>
      <c r="N15" s="2"/>
      <c r="O15" s="8"/>
    </row>
    <row r="16" spans="8:27" ht="26.45" customHeight="1" x14ac:dyDescent="0.35">
      <c r="H16" s="7" t="s">
        <v>9</v>
      </c>
      <c r="I16" s="2">
        <v>1</v>
      </c>
      <c r="J16" s="2">
        <v>1</v>
      </c>
      <c r="K16" s="2">
        <v>1</v>
      </c>
      <c r="L16" s="3"/>
      <c r="M16" s="3"/>
      <c r="N16" s="3"/>
      <c r="O16" s="8"/>
    </row>
    <row r="17" spans="8:22" ht="26.45" customHeight="1" x14ac:dyDescent="0.35">
      <c r="H17" s="7" t="s">
        <v>10</v>
      </c>
      <c r="I17" s="2"/>
      <c r="J17" s="3"/>
      <c r="K17" s="3"/>
      <c r="L17" s="2">
        <v>1</v>
      </c>
      <c r="M17" s="2">
        <v>1</v>
      </c>
      <c r="N17" s="2">
        <v>1</v>
      </c>
      <c r="O17" s="8"/>
    </row>
    <row r="18" spans="8:22" ht="26.45" customHeight="1" thickBot="1" x14ac:dyDescent="0.3">
      <c r="H18" s="9" t="s">
        <v>11</v>
      </c>
      <c r="I18" s="10"/>
      <c r="J18" s="10">
        <v>1</v>
      </c>
      <c r="K18" s="10"/>
      <c r="L18" s="10"/>
      <c r="M18" s="10"/>
      <c r="N18" s="10"/>
      <c r="O18" s="11">
        <v>1</v>
      </c>
    </row>
    <row r="22" spans="8:22" ht="15.75" thickBot="1" x14ac:dyDescent="0.3"/>
    <row r="23" spans="8:22" ht="30" x14ac:dyDescent="0.25">
      <c r="H23" s="4" t="s">
        <v>12</v>
      </c>
      <c r="I23" s="1" t="s">
        <v>0</v>
      </c>
      <c r="J23" s="1" t="s">
        <v>1</v>
      </c>
      <c r="K23" s="1" t="s">
        <v>2</v>
      </c>
      <c r="L23" s="1" t="s">
        <v>3</v>
      </c>
      <c r="M23" s="1" t="s">
        <v>4</v>
      </c>
      <c r="N23" s="1" t="s">
        <v>5</v>
      </c>
      <c r="O23" s="1" t="s">
        <v>6</v>
      </c>
    </row>
    <row r="24" spans="8:22" x14ac:dyDescent="0.25">
      <c r="H24" s="2" t="s">
        <v>7</v>
      </c>
      <c r="I24" s="2">
        <v>1</v>
      </c>
      <c r="J24" s="2"/>
      <c r="K24" s="2"/>
      <c r="L24" s="2">
        <v>1</v>
      </c>
      <c r="M24" s="2" t="s">
        <v>8</v>
      </c>
      <c r="N24" s="2"/>
      <c r="O24" s="2"/>
    </row>
    <row r="25" spans="8:22" ht="23.25" x14ac:dyDescent="0.35">
      <c r="H25" s="2" t="s">
        <v>9</v>
      </c>
      <c r="I25" s="2">
        <v>1</v>
      </c>
      <c r="J25" s="2">
        <v>1</v>
      </c>
      <c r="K25" s="2">
        <v>1</v>
      </c>
      <c r="L25" s="3"/>
      <c r="M25" s="3"/>
      <c r="N25" s="3"/>
      <c r="O25" s="2"/>
    </row>
    <row r="26" spans="8:22" ht="23.25" x14ac:dyDescent="0.35">
      <c r="H26" s="2" t="s">
        <v>10</v>
      </c>
      <c r="I26" s="2"/>
      <c r="J26" s="3"/>
      <c r="K26" s="3"/>
      <c r="L26" s="2" t="s">
        <v>8</v>
      </c>
      <c r="M26" s="2">
        <v>1</v>
      </c>
      <c r="N26" s="2">
        <v>1</v>
      </c>
      <c r="O26" s="2"/>
    </row>
    <row r="27" spans="8:22" ht="22.9" customHeight="1" x14ac:dyDescent="0.25">
      <c r="H27" s="2" t="s">
        <v>11</v>
      </c>
      <c r="I27" s="2"/>
      <c r="J27" s="2">
        <v>1</v>
      </c>
      <c r="K27" s="2"/>
      <c r="L27" s="2"/>
      <c r="M27" s="2"/>
      <c r="N27" s="2"/>
      <c r="O27" s="2">
        <v>1</v>
      </c>
    </row>
    <row r="31" spans="8:22" ht="15.75" thickBot="1" x14ac:dyDescent="0.3"/>
    <row r="32" spans="8:22" ht="31.9" customHeight="1" x14ac:dyDescent="0.25">
      <c r="H32" s="4" t="s">
        <v>12</v>
      </c>
      <c r="I32" s="1" t="s">
        <v>0</v>
      </c>
      <c r="J32" s="1" t="s">
        <v>1</v>
      </c>
      <c r="K32" s="1" t="s">
        <v>2</v>
      </c>
      <c r="L32" s="1" t="s">
        <v>3</v>
      </c>
      <c r="M32" s="1" t="s">
        <v>4</v>
      </c>
      <c r="N32" s="1" t="s">
        <v>5</v>
      </c>
      <c r="O32" s="1" t="s">
        <v>6</v>
      </c>
      <c r="S32" t="s">
        <v>8</v>
      </c>
      <c r="V32" t="s">
        <v>8</v>
      </c>
    </row>
    <row r="33" spans="8:22" ht="31.9" customHeight="1" x14ac:dyDescent="0.25">
      <c r="H33" s="2" t="s">
        <v>7</v>
      </c>
      <c r="I33" s="2">
        <v>0.66666700000000001</v>
      </c>
      <c r="J33" s="2">
        <v>0</v>
      </c>
      <c r="K33" s="2">
        <v>0</v>
      </c>
      <c r="L33" s="2">
        <v>1.6666669999999999</v>
      </c>
      <c r="M33" s="2">
        <v>-2.3333300000000001</v>
      </c>
      <c r="N33" s="2">
        <v>0</v>
      </c>
      <c r="O33" s="2">
        <v>0</v>
      </c>
      <c r="U33" t="s">
        <v>8</v>
      </c>
      <c r="V33" t="s">
        <v>8</v>
      </c>
    </row>
    <row r="34" spans="8:22" ht="31.9" customHeight="1" x14ac:dyDescent="0.25">
      <c r="H34" s="2" t="s">
        <v>9</v>
      </c>
      <c r="I34" s="2">
        <v>0.33333299999999999</v>
      </c>
      <c r="J34" s="2">
        <v>0.33333299999999999</v>
      </c>
      <c r="K34" s="2">
        <v>-0.66666999999999998</v>
      </c>
      <c r="L34" s="2">
        <v>0</v>
      </c>
      <c r="M34" s="2">
        <v>0</v>
      </c>
      <c r="N34" s="2">
        <v>0</v>
      </c>
      <c r="O34" s="2">
        <v>0</v>
      </c>
      <c r="T34" t="s">
        <v>8</v>
      </c>
    </row>
    <row r="35" spans="8:22" ht="31.9" customHeight="1" x14ac:dyDescent="0.25">
      <c r="H35" s="2" t="s">
        <v>10</v>
      </c>
      <c r="I35" s="2">
        <v>0</v>
      </c>
      <c r="J35" s="2">
        <v>0</v>
      </c>
      <c r="K35" s="2">
        <v>0</v>
      </c>
      <c r="L35" s="2">
        <v>-1.6666700000000001</v>
      </c>
      <c r="M35" s="2">
        <v>0.33333299999999999</v>
      </c>
      <c r="N35" s="2">
        <v>1.3333330000000001</v>
      </c>
      <c r="O35" s="2">
        <v>0</v>
      </c>
    </row>
    <row r="36" spans="8:22" ht="31.9" customHeight="1" x14ac:dyDescent="0.25">
      <c r="H36" s="2" t="s">
        <v>11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8:22" ht="15.75" thickBot="1" x14ac:dyDescent="0.3"/>
    <row r="38" spans="8:22" x14ac:dyDescent="0.25">
      <c r="H38" s="12" t="str" cm="1">
        <f t="array" ref="H38:L45">TRANSPOSE(H32:O36)</f>
        <v>Individual</v>
      </c>
      <c r="I38" s="13" t="str">
        <v>A</v>
      </c>
      <c r="J38" s="13" t="str">
        <v>B</v>
      </c>
      <c r="K38" s="13" t="str">
        <v>C</v>
      </c>
      <c r="L38" s="14" t="str">
        <v>D</v>
      </c>
      <c r="P38" t="s">
        <v>8</v>
      </c>
    </row>
    <row r="39" spans="8:22" x14ac:dyDescent="0.25">
      <c r="H39" s="15" t="str">
        <v>Movie 1</v>
      </c>
      <c r="I39" s="16">
        <v>0.66666700000000001</v>
      </c>
      <c r="J39" s="16">
        <v>0.33333299999999999</v>
      </c>
      <c r="K39" s="16">
        <v>0</v>
      </c>
      <c r="L39" s="17">
        <v>0</v>
      </c>
    </row>
    <row r="40" spans="8:22" x14ac:dyDescent="0.25">
      <c r="H40" s="15" t="str">
        <v>Movie 2</v>
      </c>
      <c r="I40" s="16">
        <v>0</v>
      </c>
      <c r="J40" s="16">
        <v>0.33333299999999999</v>
      </c>
      <c r="K40" s="16">
        <v>0</v>
      </c>
      <c r="L40" s="17">
        <v>0</v>
      </c>
    </row>
    <row r="41" spans="8:22" x14ac:dyDescent="0.25">
      <c r="H41" s="15" t="str">
        <v>Movie 3</v>
      </c>
      <c r="I41" s="16">
        <v>0</v>
      </c>
      <c r="J41" s="16">
        <v>-0.66666999999999998</v>
      </c>
      <c r="K41" s="16">
        <v>0</v>
      </c>
      <c r="L41" s="17">
        <v>0</v>
      </c>
    </row>
    <row r="42" spans="8:22" x14ac:dyDescent="0.25">
      <c r="H42" s="15" t="str">
        <v>Movie 4</v>
      </c>
      <c r="I42" s="16">
        <v>1.6666669999999999</v>
      </c>
      <c r="J42" s="16">
        <v>0</v>
      </c>
      <c r="K42" s="16">
        <v>-1.6666700000000001</v>
      </c>
      <c r="L42" s="17">
        <v>0</v>
      </c>
    </row>
    <row r="43" spans="8:22" x14ac:dyDescent="0.25">
      <c r="H43" s="15" t="str">
        <v>Movie 5</v>
      </c>
      <c r="I43" s="16">
        <v>-2.3333300000000001</v>
      </c>
      <c r="J43" s="16">
        <v>0</v>
      </c>
      <c r="K43" s="16">
        <v>0.33333299999999999</v>
      </c>
      <c r="L43" s="17">
        <v>0</v>
      </c>
    </row>
    <row r="44" spans="8:22" x14ac:dyDescent="0.25">
      <c r="H44" s="15" t="str">
        <v>Movie 6</v>
      </c>
      <c r="I44" s="16">
        <v>0</v>
      </c>
      <c r="J44" s="16">
        <v>0</v>
      </c>
      <c r="K44" s="16">
        <v>1.3333330000000001</v>
      </c>
      <c r="L44" s="17">
        <v>0</v>
      </c>
    </row>
    <row r="45" spans="8:22" ht="15.75" thickBot="1" x14ac:dyDescent="0.3">
      <c r="H45" s="18" t="str">
        <v>Movie 7</v>
      </c>
      <c r="I45" s="19">
        <v>0</v>
      </c>
      <c r="J45" s="19">
        <v>0</v>
      </c>
      <c r="K45" s="19">
        <v>0</v>
      </c>
      <c r="L45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5020-C389-46F4-905A-ED7ACA6547CB}">
  <dimension ref="F6:O11"/>
  <sheetViews>
    <sheetView workbookViewId="0">
      <selection activeCell="J10" sqref="J10"/>
    </sheetView>
  </sheetViews>
  <sheetFormatPr defaultRowHeight="15" x14ac:dyDescent="0.25"/>
  <cols>
    <col min="15" max="15" width="12" bestFit="1" customWidth="1"/>
  </cols>
  <sheetData>
    <row r="6" spans="6:15" ht="15.75" thickBot="1" x14ac:dyDescent="0.3">
      <c r="L6" s="59" t="s">
        <v>21</v>
      </c>
      <c r="O6" s="60">
        <f>COS(90*PI()/180)</f>
        <v>6.1257422745431001E-17</v>
      </c>
    </row>
    <row r="7" spans="6:15" ht="15.75" thickBot="1" x14ac:dyDescent="0.3">
      <c r="F7" s="57">
        <v>1</v>
      </c>
      <c r="G7" s="58">
        <v>0</v>
      </c>
      <c r="I7" cm="1">
        <f t="array" ref="I7:I8">TRANSPOSE(F9:G9)</f>
        <v>0</v>
      </c>
      <c r="K7" t="s">
        <v>8</v>
      </c>
      <c r="L7" s="59" t="s">
        <v>22</v>
      </c>
      <c r="O7" s="60">
        <f>COS(0*PI()/180)</f>
        <v>1</v>
      </c>
    </row>
    <row r="8" spans="6:15" ht="15.75" thickBot="1" x14ac:dyDescent="0.3">
      <c r="I8">
        <v>1</v>
      </c>
    </row>
    <row r="9" spans="6:15" ht="15.75" thickBot="1" x14ac:dyDescent="0.3">
      <c r="F9" s="57">
        <v>0</v>
      </c>
      <c r="G9" s="58">
        <v>1</v>
      </c>
      <c r="J9" t="s">
        <v>8</v>
      </c>
    </row>
    <row r="10" spans="6:15" ht="15.75" thickBot="1" x14ac:dyDescent="0.3">
      <c r="J10" cm="1">
        <f t="array" ref="J10">MMULT(F7:G7,_xlfn.ANCHORARRAY(I7))</f>
        <v>0</v>
      </c>
    </row>
    <row r="11" spans="6:15" ht="15.75" thickBot="1" x14ac:dyDescent="0.3">
      <c r="F11" s="57">
        <v>1</v>
      </c>
      <c r="G11" s="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Colaborative</vt:lpstr>
      <vt:lpstr>Cosine_distance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Khashayar Dehnad</dc:creator>
  <cp:lastModifiedBy>Ali Abdullah Ahmad</cp:lastModifiedBy>
  <dcterms:created xsi:type="dcterms:W3CDTF">2025-04-09T11:14:15Z</dcterms:created>
  <dcterms:modified xsi:type="dcterms:W3CDTF">2025-04-11T00:48:29Z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2025-04-09T11:25:40Z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c7870e39-8624-4769-a820-98c2c592e429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